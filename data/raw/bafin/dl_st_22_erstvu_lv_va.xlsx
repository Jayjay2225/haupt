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53222"/>
  <mc:AlternateContent xmlns:mc="http://schemas.openxmlformats.org/markup-compatibility/2006">
    <mc:Choice Requires="x15">
      <x15ac:absPath xmlns:x15ac="http://schemas.microsoft.com/office/spreadsheetml/2010/11/ac" url="H:\_Krings\_VA 51\Erstversicherungsstatistik\Internetseite\2022\Tabellen\Homepage\"/>
    </mc:Choice>
  </mc:AlternateContent>
  <bookViews>
    <workbookView xWindow="0" yWindow="0" windowWidth="28800" windowHeight="12000"/>
  </bookViews>
  <sheets>
    <sheet name="100" sheetId="22" r:id="rId1"/>
    <sheet name="110" sheetId="23" r:id="rId2"/>
    <sheet name="120" sheetId="24" r:id="rId3"/>
    <sheet name="130" sheetId="25" r:id="rId4"/>
    <sheet name="140" sheetId="26" r:id="rId5"/>
    <sheet name="141" sheetId="27" r:id="rId6"/>
    <sheet name="150 (1)" sheetId="28" r:id="rId7"/>
    <sheet name="150 (2)" sheetId="29" r:id="rId8"/>
    <sheet name="160" sheetId="31" r:id="rId9"/>
  </sheets>
  <definedNames>
    <definedName name="its_details_value_node.html?nsc_true_listId_www_s201_b9233_tsId_BBK01.ED0439" localSheetId="0">'100'!$A$1:$H$32</definedName>
    <definedName name="its_details_value_node.html?nsc_true_listId_www_s201_b9233_tsId_BBK01.ED0439" localSheetId="1">'110'!$A$1:$O$35</definedName>
    <definedName name="its_details_value_node.html?nsc_true_listId_www_s201_b9233_tsId_BBK01.ED0439" localSheetId="2">'120'!$A$1:$H$32</definedName>
    <definedName name="its_details_value_node.html?nsc_true_listId_www_s201_b9233_tsId_BBK01.ED0439" localSheetId="3">'130'!$A$1:$H$27</definedName>
    <definedName name="its_details_value_node.html?nsc_true_listId_www_s201_b9233_tsId_BBK01.ED0439" localSheetId="4">'140'!$A$1:$H$27</definedName>
    <definedName name="its_details_value_node.html?nsc_true_listId_www_s201_b9233_tsId_BBK01.ED0439" localSheetId="5">'141'!$A$1:$H$33</definedName>
    <definedName name="its_details_value_node.html?nsc_true_listId_www_s201_b9233_tsId_BBK01.ED0439" localSheetId="6">'150 (1)'!$A$1:$Q$43</definedName>
    <definedName name="its_details_value_node.html?nsc_true_listId_www_s201_b9233_tsId_BBK01.ED0439" localSheetId="7">'150 (2)'!$A$1:$Q$43</definedName>
    <definedName name="its_details_value_node.html?nsc_true_listId_www_s201_b9233_tsId_BBK01.ED0439" localSheetId="8">'160'!$A$1:$P$103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24" l="1"/>
  <c r="F28" i="24"/>
  <c r="F27" i="24"/>
  <c r="F24" i="24"/>
  <c r="F23" i="24"/>
  <c r="F22" i="24"/>
  <c r="F21" i="24"/>
  <c r="F20" i="24"/>
  <c r="F18" i="24"/>
  <c r="F15" i="24"/>
  <c r="F13" i="24"/>
  <c r="F8" i="24"/>
  <c r="F7" i="24"/>
  <c r="F6" i="24"/>
</calcChain>
</file>

<file path=xl/connections.xml><?xml version="1.0" encoding="utf-8"?>
<connections xmlns="http://schemas.openxmlformats.org/spreadsheetml/2006/main">
  <connection id="1" name="Verbindung2" type="4" refreshedVersion="6" background="1" saveData="1">
    <webPr sourceData="1" parsePre="1" consecutive="1" xl2000="1" url="file://C:\Users\grandema\AppData\Local\temp\f3aElLbp.html" htmlFormat="all"/>
  </connection>
  <connection id="2" name="Verbindung21" type="4" refreshedVersion="6" background="1" saveData="1">
    <webPr sourceData="1" parsePre="1" consecutive="1" xl2000="1" url="file://C:\Users\grandema\AppData\Local\temp\YoBYsdxd.html" htmlFormat="all"/>
  </connection>
  <connection id="3" name="Verbindung22" type="4" refreshedVersion="6" background="1" saveData="1">
    <webPr sourceData="1" parsePre="1" consecutive="1" xl2000="1" url="file://C:\Users\grandema\AppData\Local\temp\bYapP6VW.html" htmlFormat="all"/>
  </connection>
  <connection id="4" name="Verbindung23" type="4" refreshedVersion="6" background="1" saveData="1">
    <webPr sourceData="1" parsePre="1" consecutive="1" xl2000="1" url="file://C:\Users\grandema\AppData\Local\temp\TaA7OGqD.html" htmlFormat="all"/>
  </connection>
  <connection id="5" name="Verbindung24" type="4" refreshedVersion="6" background="1" saveData="1">
    <webPr sourceData="1" parsePre="1" consecutive="1" xl2000="1" url="file://C:\Users\grandema\AppData\Local\temp\a5CBzUjj.html" htmlFormat="all"/>
  </connection>
  <connection id="6" name="Verbindung25" type="4" refreshedVersion="6" background="1" saveData="1">
    <webPr sourceData="1" parsePre="1" consecutive="1" xl2000="1" url="file://C:\Users\grandema\AppData\Local\temp\t32p7qms.html" htmlFormat="all"/>
  </connection>
  <connection id="7" name="Verbindung27" type="4" refreshedVersion="6" background="1" saveData="1">
    <webPr sourceData="1" parsePre="1" consecutive="1" xl2000="1" url="file://C:\Users\grandema\AppData\Local\temp\EhaAJ5V7.html" htmlFormat="all"/>
  </connection>
  <connection id="8" name="Verbindung28" type="4" refreshedVersion="6" background="1" saveData="1">
    <webPr sourceData="1" parsePre="1" consecutive="1" xl2000="1" url="file://C:\Users\WOITSC~1\AppData\Local\Temp\p7eHCMFo.html" htmlFormat="all"/>
  </connection>
  <connection id="9" name="Verbindung3" type="4" refreshedVersion="6" background="1" saveData="1">
    <webPr sourceData="1" parsePre="1" consecutive="1" xl2000="1" url="file://C:\Users\grandema\AppData\Local\temp\FrzfIMoy.html" htmlFormat="all"/>
  </connection>
</connections>
</file>

<file path=xl/sharedStrings.xml><?xml version="1.0" encoding="utf-8"?>
<sst xmlns="http://schemas.openxmlformats.org/spreadsheetml/2006/main" count="670" uniqueCount="391">
  <si>
    <t>Zusammenfassung der Bilanzen</t>
  </si>
  <si>
    <t>Tabelle 100</t>
  </si>
  <si>
    <t>Bilanzposten</t>
  </si>
  <si>
    <t>in Tsd. €</t>
  </si>
  <si>
    <r>
      <t xml:space="preserve">in % </t>
    </r>
    <r>
      <rPr>
        <vertAlign val="superscript"/>
        <sz val="6.6"/>
        <color theme="1"/>
        <rFont val="Arial"/>
        <family val="2"/>
      </rPr>
      <t>1</t>
    </r>
  </si>
  <si>
    <t>Aktiva</t>
  </si>
  <si>
    <t>1. Ausstehende Einlagen auf das gezeichnete Kapital</t>
  </si>
  <si>
    <t>2. Immaterielle Vermögensgegenstände</t>
  </si>
  <si>
    <t>3. Kapitalanlagen, soweit sie nicht zu Nr. 4 oder 5 gehören</t>
  </si>
  <si>
    <t>4. Depotforderungen aus dem in Rückdeckung übernommenen VG</t>
  </si>
  <si>
    <t>5. Kapitalanlagen für Rechnung und Risiko von Inhabern</t>
  </si>
  <si>
    <t xml:space="preserve">    von Lebensversicherungspolicen</t>
  </si>
  <si>
    <t>6. Forderungen aus dem selbst abg. VG an VN:</t>
  </si>
  <si>
    <t xml:space="preserve">    a) fällige Ansprüche</t>
  </si>
  <si>
    <t xml:space="preserve">    b) noch nicht fällige Ansprüche</t>
  </si>
  <si>
    <t>7. Forderungen aus dem selbst abg. VG an Versicherungsvermittler</t>
  </si>
  <si>
    <t>8. Abgegrenzte Zinsen und Mieten</t>
  </si>
  <si>
    <t>9. Sonstige Aktiva</t>
  </si>
  <si>
    <t>Passiva</t>
  </si>
  <si>
    <t>1. Eigenkapital</t>
  </si>
  <si>
    <t>2. Genussrechtskapital und nachrangige Verbindlichkeiten</t>
  </si>
  <si>
    <t>3. Sonderposten mit Rücklageanteil</t>
  </si>
  <si>
    <t>4. Versicherungstechnische Netto-Rückstellungen</t>
  </si>
  <si>
    <t>5. Versicherungstechnische Netto-Rückstellungen im Bereich der LV,</t>
  </si>
  <si>
    <t xml:space="preserve">    soweit das Anlagerisiko von den VN getragen wird</t>
  </si>
  <si>
    <t>6. Depotverbindlichkeiten aus dem in Rückdeckung gegebenen VG</t>
  </si>
  <si>
    <t>7. Verbindlichkeiten aus dem selbst abg. VG gegenüber VN</t>
  </si>
  <si>
    <t xml:space="preserve">    a) verzinslich angesammelte Überschussanteile</t>
  </si>
  <si>
    <t xml:space="preserve">    b) sonstige</t>
  </si>
  <si>
    <t>8. Sonstige Passiva</t>
  </si>
  <si>
    <t>Bilanzsumme</t>
  </si>
  <si>
    <r>
      <t>1</t>
    </r>
    <r>
      <rPr>
        <sz val="8"/>
        <color theme="1"/>
        <rFont val="Arial"/>
        <family val="2"/>
      </rPr>
      <t xml:space="preserve"> In Prozent der Bilanzsumme.</t>
    </r>
  </si>
  <si>
    <t>Tabelle 110</t>
  </si>
  <si>
    <t>Anlageart</t>
  </si>
  <si>
    <r>
      <t xml:space="preserve">Anfangsbestand </t>
    </r>
    <r>
      <rPr>
        <vertAlign val="superscript"/>
        <sz val="6.6"/>
        <color theme="1"/>
        <rFont val="Arial"/>
        <family val="2"/>
      </rPr>
      <t>1</t>
    </r>
  </si>
  <si>
    <t>Zugänge</t>
  </si>
  <si>
    <t>Zuschreibungen</t>
  </si>
  <si>
    <t>Umbuchungen</t>
  </si>
  <si>
    <t>Abgänge</t>
  </si>
  <si>
    <t>Abschreibungen</t>
  </si>
  <si>
    <t>Endbestand</t>
  </si>
  <si>
    <t>in Mio. €</t>
  </si>
  <si>
    <r>
      <t xml:space="preserve">in % </t>
    </r>
    <r>
      <rPr>
        <vertAlign val="superscript"/>
        <sz val="6.6"/>
        <color theme="1"/>
        <rFont val="Arial"/>
        <family val="2"/>
      </rPr>
      <t>2</t>
    </r>
  </si>
  <si>
    <r>
      <t xml:space="preserve">in % </t>
    </r>
    <r>
      <rPr>
        <vertAlign val="superscript"/>
        <sz val="6.6"/>
        <color theme="1"/>
        <rFont val="Arial"/>
        <family val="2"/>
      </rPr>
      <t>3</t>
    </r>
  </si>
  <si>
    <r>
      <t xml:space="preserve">in % </t>
    </r>
    <r>
      <rPr>
        <vertAlign val="superscript"/>
        <sz val="6.6"/>
        <color theme="1"/>
        <rFont val="Arial"/>
        <family val="2"/>
      </rPr>
      <t>4</t>
    </r>
  </si>
  <si>
    <t>Grundstücke, grundstücks-</t>
  </si>
  <si>
    <t>-</t>
  </si>
  <si>
    <t>gleiche Rechte und Bauten</t>
  </si>
  <si>
    <t>Anteile an verb. Unternehmen</t>
  </si>
  <si>
    <t>Ausleihungen an</t>
  </si>
  <si>
    <t>verbundene Unternehmen</t>
  </si>
  <si>
    <t>Beteiligungen</t>
  </si>
  <si>
    <t>Unternehmen, mit denen ein</t>
  </si>
  <si>
    <t>Beteiligungsverhältnis besteht</t>
  </si>
  <si>
    <t>Aktien</t>
  </si>
  <si>
    <t>Investmentanteile</t>
  </si>
  <si>
    <t>andere nicht</t>
  </si>
  <si>
    <t>festverzinsliche Wertpapiere</t>
  </si>
  <si>
    <t>Inhaberschuldverschreibungen</t>
  </si>
  <si>
    <t>u. and. festverzl. Wertpapiere</t>
  </si>
  <si>
    <t>Hypotheken-, Grundschuld-</t>
  </si>
  <si>
    <t>und Rentenschuldforderungen</t>
  </si>
  <si>
    <t>Namensschuldverschreibungen</t>
  </si>
  <si>
    <t>Schuldscheinforderungen</t>
  </si>
  <si>
    <t>und Darlehen</t>
  </si>
  <si>
    <t>Darlehen und Vorauszahlungen</t>
  </si>
  <si>
    <t>auf Versicherungsscheine</t>
  </si>
  <si>
    <t>übrige Ausleihungen</t>
  </si>
  <si>
    <t>Einlagen bei Kreditinstituten</t>
  </si>
  <si>
    <t>andere Kapitalanlagen</t>
  </si>
  <si>
    <t>Summe der Kapitalanlagen</t>
  </si>
  <si>
    <r>
      <t>1</t>
    </r>
    <r>
      <rPr>
        <sz val="8"/>
        <color theme="1"/>
        <rFont val="Arial"/>
        <family val="2"/>
      </rPr>
      <t xml:space="preserve"> Mit dem Währungskurswert vom Ende des Geschäftsjahres.</t>
    </r>
  </si>
  <si>
    <r>
      <t>2</t>
    </r>
    <r>
      <rPr>
        <sz val="8"/>
        <color theme="1"/>
        <rFont val="Arial"/>
        <family val="2"/>
      </rPr>
      <t xml:space="preserve"> In Prozent der Summe der Kapitalanlagen.</t>
    </r>
  </si>
  <si>
    <r>
      <t>3</t>
    </r>
    <r>
      <rPr>
        <sz val="8"/>
        <color theme="1"/>
        <rFont val="Arial"/>
        <family val="2"/>
      </rPr>
      <t xml:space="preserve"> In Prozent des Anfangsbestandes.</t>
    </r>
  </si>
  <si>
    <r>
      <t>4</t>
    </r>
    <r>
      <rPr>
        <sz val="8"/>
        <color theme="1"/>
        <rFont val="Arial"/>
        <family val="2"/>
      </rPr>
      <t xml:space="preserve"> Veränderung (Endbestand abzüglich Anfangsbestand) in Prozent des Anfangsbestandes.</t>
    </r>
  </si>
  <si>
    <t>Eigenkapital, Genussrechtskapital und nachrangige Verbindlichkeiten</t>
  </si>
  <si>
    <t>Tabelle 120</t>
  </si>
  <si>
    <t>AG</t>
  </si>
  <si>
    <t>VVaG</t>
  </si>
  <si>
    <t>Ö-r. VU</t>
  </si>
  <si>
    <t>NL</t>
  </si>
  <si>
    <t>Gesamt</t>
  </si>
  <si>
    <r>
      <t xml:space="preserve">1. Gezeichnetes Kapital </t>
    </r>
    <r>
      <rPr>
        <vertAlign val="superscript"/>
        <sz val="8"/>
        <color theme="1"/>
        <rFont val="Arial"/>
        <family val="2"/>
      </rPr>
      <t>1</t>
    </r>
  </si>
  <si>
    <t>2. Kapitalrücklage</t>
  </si>
  <si>
    <t xml:space="preserve">    davon gemäß § 5 Abs. 5 Nr. 3 VAG</t>
  </si>
  <si>
    <t>3. Gewinnrücklagen:</t>
  </si>
  <si>
    <r>
      <t xml:space="preserve">    a) gesetzliche Rücklagen </t>
    </r>
    <r>
      <rPr>
        <vertAlign val="superscript"/>
        <sz val="8"/>
        <color theme="1"/>
        <rFont val="Arial"/>
        <family val="2"/>
      </rPr>
      <t>2</t>
    </r>
  </si>
  <si>
    <t xml:space="preserve">    b) Rücklage für Anteile an einem herrschenden</t>
  </si>
  <si>
    <t xml:space="preserve">        oder mehrheitlich beteiligten Unternehmen</t>
  </si>
  <si>
    <t xml:space="preserve">    c) satzungsmäßige Rücklagen</t>
  </si>
  <si>
    <t xml:space="preserve">    d) Rücklage gemäß § 58 Abs. 2a AktG</t>
  </si>
  <si>
    <t xml:space="preserve">    e) sonstige Gewinnrücklagen</t>
  </si>
  <si>
    <r>
      <t xml:space="preserve">4. Gewinnvortrag </t>
    </r>
    <r>
      <rPr>
        <vertAlign val="superscript"/>
        <sz val="8"/>
        <color theme="1"/>
        <rFont val="Arial"/>
        <family val="2"/>
      </rPr>
      <t>3</t>
    </r>
  </si>
  <si>
    <r>
      <t xml:space="preserve">    Verlustvortrag </t>
    </r>
    <r>
      <rPr>
        <vertAlign val="superscript"/>
        <sz val="8"/>
        <color theme="1"/>
        <rFont val="Arial"/>
        <family val="2"/>
      </rPr>
      <t>3</t>
    </r>
  </si>
  <si>
    <r>
      <t xml:space="preserve">5. Jahresüberschuss </t>
    </r>
    <r>
      <rPr>
        <vertAlign val="superscript"/>
        <sz val="8"/>
        <color theme="1"/>
        <rFont val="Arial"/>
        <family val="2"/>
      </rPr>
      <t>3</t>
    </r>
  </si>
  <si>
    <r>
      <t xml:space="preserve">    Jahresfehlbetrag </t>
    </r>
    <r>
      <rPr>
        <vertAlign val="superscript"/>
        <sz val="8"/>
        <color theme="1"/>
        <rFont val="Arial"/>
        <family val="2"/>
      </rPr>
      <t>3</t>
    </r>
  </si>
  <si>
    <r>
      <t xml:space="preserve">6. Bilanzgewinn </t>
    </r>
    <r>
      <rPr>
        <vertAlign val="superscript"/>
        <sz val="8"/>
        <color theme="1"/>
        <rFont val="Arial"/>
        <family val="2"/>
      </rPr>
      <t>3</t>
    </r>
  </si>
  <si>
    <r>
      <t xml:space="preserve">    Bilanzverlust </t>
    </r>
    <r>
      <rPr>
        <vertAlign val="superscript"/>
        <sz val="8"/>
        <color theme="1"/>
        <rFont val="Arial"/>
        <family val="2"/>
      </rPr>
      <t>3</t>
    </r>
  </si>
  <si>
    <t>Gesamt-Eigenkapital</t>
  </si>
  <si>
    <t>- ausstehende Einlagen</t>
  </si>
  <si>
    <t>verfügbares Eigenkapital</t>
  </si>
  <si>
    <t>Eigenkapital in % der gebuchten Brutto-Beiträge</t>
  </si>
  <si>
    <t>Eigenkapital in % der Brutto-Deckungsrückstellung</t>
  </si>
  <si>
    <t>Genussrechtskapital</t>
  </si>
  <si>
    <t>Nachrangige Verbindlichkeiten</t>
  </si>
  <si>
    <r>
      <t>1</t>
    </r>
    <r>
      <rPr>
        <sz val="8"/>
        <color theme="1"/>
        <rFont val="Arial"/>
        <family val="2"/>
      </rPr>
      <t xml:space="preserve"> Bei VVaG der Gründungsstock; bei öffentlich-rechtlichen Versicherungsunternehmen der dem gezeichneten Kapital entsprechende Posten; bei Niederlassungen der Nennbetrag der festen Kaution; der einer</t>
    </r>
  </si>
  <si>
    <t xml:space="preserve">  Niederlassung von der ausländischen Generaldirektion als Eigenkapital gewidmete Betrag wird unter dem Posten 2 ausgewiesen.</t>
  </si>
  <si>
    <r>
      <t>3</t>
    </r>
    <r>
      <rPr>
        <sz val="8"/>
        <color theme="1"/>
        <rFont val="Arial"/>
        <family val="2"/>
      </rPr>
      <t xml:space="preserve"> Gemäß § 268 Abs. 1 HGB tritt an die Stelle der Posten 4 und 5 der Posten 6, wenn die Bilanz unter Berücksichtigung teilweiser Verwendung des Jahresergebnisses aufgestellt wurde.</t>
    </r>
  </si>
  <si>
    <t>Versicherungstechnische Rückstellungen</t>
  </si>
  <si>
    <t>Tabelle 130</t>
  </si>
  <si>
    <t>brutto</t>
  </si>
  <si>
    <t>netto</t>
  </si>
  <si>
    <t>a) selbst abgeschlossenes Geschäft</t>
  </si>
  <si>
    <t>1. Beitragsüberträge</t>
  </si>
  <si>
    <t>2. Deckungsrückstellung</t>
  </si>
  <si>
    <t>3. Rückstellung für noch nicht abgewickelte</t>
  </si>
  <si>
    <t xml:space="preserve">    a) Versicherungsfälle</t>
  </si>
  <si>
    <t xml:space="preserve">    b) Rückkäufe, Rückgewährbeträge und Austrittsvergütungen</t>
  </si>
  <si>
    <t>4. Rückstellung für Beitragsrückerstattung</t>
  </si>
  <si>
    <t>5. Sonstige versicherungstechnische Rückstellungen</t>
  </si>
  <si>
    <t>6. Soweit das Anlagerisiko vom Versicherungnehmer</t>
  </si>
  <si>
    <t xml:space="preserve">    getragen wird:</t>
  </si>
  <si>
    <t xml:space="preserve">    a) Deckungsrückstellung</t>
  </si>
  <si>
    <t xml:space="preserve">    b) übrige versicherungstechnische Rückstellungen</t>
  </si>
  <si>
    <t>Insgesamt</t>
  </si>
  <si>
    <t>b) in Rückdeckung übernommenes Geschäft</t>
  </si>
  <si>
    <t>Ausgewählte Posten der Gewinn- und Verlustrechnung</t>
  </si>
  <si>
    <t>Tabelle 140</t>
  </si>
  <si>
    <t>Posten</t>
  </si>
  <si>
    <t>1.  gebuchte Brutto-Beiträge</t>
  </si>
  <si>
    <t>2.  verdiente Brutto-Beiträge</t>
  </si>
  <si>
    <t>3.  verdiente Netto-Beiträge</t>
  </si>
  <si>
    <t>4.  Beiträge aus der RfB</t>
  </si>
  <si>
    <t>5.  Erträge aus Kapitalanlagen</t>
  </si>
  <si>
    <r>
      <t xml:space="preserve">     davon: laufende Erträge </t>
    </r>
    <r>
      <rPr>
        <vertAlign val="superscript"/>
        <sz val="8"/>
        <color theme="1"/>
        <rFont val="Arial"/>
        <family val="2"/>
      </rPr>
      <t>2</t>
    </r>
  </si>
  <si>
    <r>
      <t xml:space="preserve">6.  Brutto-Aufwendungen für Versicherungsfälle </t>
    </r>
    <r>
      <rPr>
        <vertAlign val="superscript"/>
        <sz val="8"/>
        <color theme="1"/>
        <rFont val="Arial"/>
        <family val="2"/>
      </rPr>
      <t>3</t>
    </r>
  </si>
  <si>
    <r>
      <t xml:space="preserve">7.  Brutto-Aufwendungen für Rückkäufe </t>
    </r>
    <r>
      <rPr>
        <vertAlign val="superscript"/>
        <sz val="8"/>
        <color theme="1"/>
        <rFont val="Arial"/>
        <family val="2"/>
      </rPr>
      <t>3</t>
    </r>
  </si>
  <si>
    <t>8.  Veränderung der Brutto-Deckungsrückstellung</t>
  </si>
  <si>
    <t>9.  Zuführung zur RfB</t>
  </si>
  <si>
    <t>10.  Brutto-Aufwendungen für den Versicherungsbetrieb</t>
  </si>
  <si>
    <t xml:space="preserve">       davon: a) rechnungsmäßig gedeckte Abschlussaufwendungen</t>
  </si>
  <si>
    <t xml:space="preserve">                   b) sonstige Abschlussaufwendungen</t>
  </si>
  <si>
    <t xml:space="preserve">                   c) Verwaltungsaufwendungen</t>
  </si>
  <si>
    <t>11. Aufwendungen für Kapitalanlagen</t>
  </si>
  <si>
    <r>
      <t xml:space="preserve">      davon: laufende Aufwendungen </t>
    </r>
    <r>
      <rPr>
        <vertAlign val="superscript"/>
        <sz val="8"/>
        <color theme="1"/>
        <rFont val="Arial"/>
        <family val="2"/>
      </rPr>
      <t>2</t>
    </r>
  </si>
  <si>
    <t>12. Ergebnis aus dem abgegebenen Rückversicherungsgeschäft</t>
  </si>
  <si>
    <r>
      <t xml:space="preserve">13. Überschuss </t>
    </r>
    <r>
      <rPr>
        <vertAlign val="superscript"/>
        <sz val="8"/>
        <color theme="1"/>
        <rFont val="Arial"/>
        <family val="2"/>
      </rPr>
      <t>4</t>
    </r>
  </si>
  <si>
    <r>
      <t xml:space="preserve">14. Jahresüberschuss/Jahresfehlbetrag </t>
    </r>
    <r>
      <rPr>
        <vertAlign val="superscript"/>
        <sz val="8"/>
        <color theme="1"/>
        <rFont val="Arial"/>
        <family val="2"/>
      </rPr>
      <t>5</t>
    </r>
  </si>
  <si>
    <r>
      <t>1</t>
    </r>
    <r>
      <rPr>
        <sz val="8"/>
        <color theme="1"/>
        <rFont val="Arial"/>
        <family val="2"/>
      </rPr>
      <t xml:space="preserve"> In Prozent der verdienten Brutto-Beiträge; Posten 1. a) und 1. b) in Prozent der gesamten gebuchten Brutto-Beiträge.</t>
    </r>
  </si>
  <si>
    <r>
      <t>2</t>
    </r>
    <r>
      <rPr>
        <sz val="8"/>
        <color theme="1"/>
        <rFont val="Arial"/>
        <family val="2"/>
      </rPr>
      <t xml:space="preserve"> Entsprechend der Zuordnung in Nw 201 der BerVersV.</t>
    </r>
  </si>
  <si>
    <r>
      <t>3</t>
    </r>
    <r>
      <rPr>
        <sz val="8"/>
        <color theme="1"/>
        <rFont val="Arial"/>
        <family val="2"/>
      </rPr>
      <t xml:space="preserve"> Einschließlich der Veränderung der Brutto-Rückstellung für noch nicht abgewickelte Versicherungsfälle bzw. Rückkäufe, Rückgewährbeträge und Austrittsvergütungen.</t>
    </r>
  </si>
  <si>
    <r>
      <t>4</t>
    </r>
    <r>
      <rPr>
        <sz val="8"/>
        <color theme="1"/>
        <rFont val="Arial"/>
        <family val="2"/>
      </rPr>
      <t xml:space="preserve"> Überschuss ist die Summe aus der Zuführung zur RfB und dem Jahresüberschuss/Jahresfehlbetrag.</t>
    </r>
  </si>
  <si>
    <r>
      <t>5</t>
    </r>
    <r>
      <rPr>
        <sz val="8"/>
        <color theme="1"/>
        <rFont val="Arial"/>
        <family val="2"/>
      </rPr>
      <t xml:space="preserve"> Entspricht Posten II.11 Formblatt 3 RechVersV; bis 2000 Posten 27 Formblatt II Externe VUReV.</t>
    </r>
  </si>
  <si>
    <r>
      <t>Zerlegung des Überschusses</t>
    </r>
    <r>
      <rPr>
        <vertAlign val="superscript"/>
        <sz val="6.6"/>
        <color theme="1"/>
        <rFont val="Arial"/>
        <family val="2"/>
      </rPr>
      <t>1</t>
    </r>
    <r>
      <rPr>
        <sz val="12"/>
        <color theme="1"/>
        <rFont val="Arial"/>
        <family val="2"/>
      </rPr>
      <t xml:space="preserve"> nach Ergebnisquellen</t>
    </r>
  </si>
  <si>
    <t>Tabelle 141</t>
  </si>
  <si>
    <t>Ergebnisquelle</t>
  </si>
  <si>
    <t>1.  selbst abgeschlossenes Versicherungsgeschäft:</t>
  </si>
  <si>
    <t xml:space="preserve">     a) Risiko und vorzeitiger Abgang:</t>
  </si>
  <si>
    <t xml:space="preserve">         1. Sterblichkeit</t>
  </si>
  <si>
    <t xml:space="preserve">         2. sonstiges Risiko</t>
  </si>
  <si>
    <t xml:space="preserve">         3. vorzeitiger Abgang</t>
  </si>
  <si>
    <r>
      <t xml:space="preserve">     b) Kapitalanlagen: </t>
    </r>
    <r>
      <rPr>
        <vertAlign val="superscript"/>
        <sz val="8"/>
        <color theme="1"/>
        <rFont val="Arial"/>
        <family val="2"/>
      </rPr>
      <t>3</t>
    </r>
  </si>
  <si>
    <t xml:space="preserve">         1. Zins</t>
  </si>
  <si>
    <t xml:space="preserve">         2. übriges Ergebnis</t>
  </si>
  <si>
    <t xml:space="preserve">     c) Kosten:</t>
  </si>
  <si>
    <t xml:space="preserve">         1. Abschlusskosten</t>
  </si>
  <si>
    <t xml:space="preserve">         2. laufende Verwaltung</t>
  </si>
  <si>
    <r>
      <t xml:space="preserve">     d) Unterschied aus Tarif- und Normbeitrag </t>
    </r>
    <r>
      <rPr>
        <vertAlign val="superscript"/>
        <sz val="8"/>
        <color theme="1"/>
        <rFont val="Arial"/>
        <family val="2"/>
      </rPr>
      <t>4</t>
    </r>
  </si>
  <si>
    <t xml:space="preserve">     e) Rückversicherung:</t>
  </si>
  <si>
    <t xml:space="preserve">         3. übriges Ergebnis</t>
  </si>
  <si>
    <t xml:space="preserve">     f) sonstiges Ergebnis</t>
  </si>
  <si>
    <t>Überschuss</t>
  </si>
  <si>
    <t>Direktgutschrift</t>
  </si>
  <si>
    <t>Zuführung zur RfB</t>
  </si>
  <si>
    <t>Ergebnis aus dem selbst abgeschlossenen Versicherungsgeschäft</t>
  </si>
  <si>
    <t>2. in Rückdeckung übernommenes Versicherungsgeschäft</t>
  </si>
  <si>
    <r>
      <t xml:space="preserve">3. Jahresüberschuss/Jahresfehlbetrag </t>
    </r>
    <r>
      <rPr>
        <vertAlign val="superscript"/>
        <sz val="8"/>
        <color theme="1"/>
        <rFont val="Arial"/>
        <family val="2"/>
      </rPr>
      <t>5</t>
    </r>
  </si>
  <si>
    <r>
      <t>1</t>
    </r>
    <r>
      <rPr>
        <sz val="8"/>
        <color theme="1"/>
        <rFont val="Arial"/>
        <family val="2"/>
      </rPr>
      <t xml:space="preserve"> Überschuss ist die Summe aus den Brutto-Aufwendungen für Beitragsrückerstattungen und dem Jahresüberschuss/Jahresfehlbetrag.</t>
    </r>
  </si>
  <si>
    <r>
      <t>2</t>
    </r>
    <r>
      <rPr>
        <sz val="8"/>
        <color theme="1"/>
        <rFont val="Arial"/>
        <family val="2"/>
      </rPr>
      <t xml:space="preserve"> In Prozent der verdienten Brutto-Beiträge des selbst abgeschlossenen Versicherungsgeschäftes.</t>
    </r>
  </si>
  <si>
    <r>
      <t>3</t>
    </r>
    <r>
      <rPr>
        <sz val="8"/>
        <color theme="1"/>
        <rFont val="Arial"/>
        <family val="2"/>
      </rPr>
      <t xml:space="preserve"> Aufteilung der tatsächlichen Erträge und Aufwendungen entsprechend der Zuordnung in Nw 201 der BerVersV.</t>
    </r>
  </si>
  <si>
    <r>
      <t>4</t>
    </r>
    <r>
      <rPr>
        <sz val="8"/>
        <color theme="1"/>
        <rFont val="Arial"/>
        <family val="2"/>
      </rPr>
      <t xml:space="preserve"> Bei abweichenden Rechnungsgrundlagen für die Berechnung von Beitrag und Deckungsrückstellung.</t>
    </r>
  </si>
  <si>
    <r>
      <t>5</t>
    </r>
    <r>
      <rPr>
        <sz val="8"/>
        <color theme="1"/>
        <rFont val="Arial"/>
        <family val="2"/>
      </rPr>
      <t xml:space="preserve"> Entspricht Posten II.11 Formblatt 3 RechVersV zzgl. Gewinnabführungen.</t>
    </r>
  </si>
  <si>
    <t xml:space="preserve">                             in der Rangfolge der verdienten Brutto-Beiträge</t>
  </si>
  <si>
    <t>Tabelle 160</t>
  </si>
  <si>
    <t>verdiente</t>
  </si>
  <si>
    <r>
      <t xml:space="preserve">Versicherungsbestand </t>
    </r>
    <r>
      <rPr>
        <b/>
        <vertAlign val="superscript"/>
        <sz val="6.6"/>
        <color theme="1"/>
        <rFont val="Arial"/>
        <family val="2"/>
      </rPr>
      <t>2</t>
    </r>
  </si>
  <si>
    <r>
      <t>Kapitalanlagen</t>
    </r>
    <r>
      <rPr>
        <b/>
        <vertAlign val="superscript"/>
        <sz val="6.6"/>
        <color theme="1"/>
        <rFont val="Arial"/>
        <family val="2"/>
      </rPr>
      <t>4</t>
    </r>
  </si>
  <si>
    <t>Aufwendungen für</t>
  </si>
  <si>
    <t>Zuführung</t>
  </si>
  <si>
    <t>Jahres-</t>
  </si>
  <si>
    <t>Name des VU</t>
  </si>
  <si>
    <t>Brutto-</t>
  </si>
  <si>
    <t>den Versicherungsbetrieb</t>
  </si>
  <si>
    <t>zur</t>
  </si>
  <si>
    <t>er-</t>
  </si>
  <si>
    <r>
      <t>Beiträge</t>
    </r>
    <r>
      <rPr>
        <b/>
        <vertAlign val="superscript"/>
        <sz val="6.6"/>
        <color theme="1"/>
        <rFont val="Arial"/>
        <family val="2"/>
      </rPr>
      <t>1</t>
    </r>
  </si>
  <si>
    <r>
      <t xml:space="preserve">RfB </t>
    </r>
    <r>
      <rPr>
        <b/>
        <vertAlign val="superscript"/>
        <sz val="6.6"/>
        <color theme="1"/>
        <rFont val="Arial"/>
        <family val="2"/>
      </rPr>
      <t>8</t>
    </r>
  </si>
  <si>
    <r>
      <t xml:space="preserve">gebnis </t>
    </r>
    <r>
      <rPr>
        <b/>
        <vertAlign val="superscript"/>
        <sz val="6.6"/>
        <color theme="1"/>
        <rFont val="Arial"/>
        <family val="2"/>
      </rPr>
      <t>9</t>
    </r>
  </si>
  <si>
    <t>Bestand</t>
  </si>
  <si>
    <t>eingelöstes</t>
  </si>
  <si>
    <t>Gesamt-</t>
  </si>
  <si>
    <t>lfd. Ver-</t>
  </si>
  <si>
    <t>Reinver-</t>
  </si>
  <si>
    <t>Abschluss-</t>
  </si>
  <si>
    <t>Verwal-</t>
  </si>
  <si>
    <t>am Ende</t>
  </si>
  <si>
    <t>Neuge-</t>
  </si>
  <si>
    <r>
      <t xml:space="preserve">storno </t>
    </r>
    <r>
      <rPr>
        <b/>
        <vertAlign val="superscript"/>
        <sz val="6.6"/>
        <color theme="1"/>
        <rFont val="Arial"/>
        <family val="2"/>
      </rPr>
      <t>3</t>
    </r>
  </si>
  <si>
    <r>
      <t xml:space="preserve">zinsung </t>
    </r>
    <r>
      <rPr>
        <b/>
        <vertAlign val="superscript"/>
        <sz val="6.6"/>
        <color theme="1"/>
        <rFont val="Arial"/>
        <family val="2"/>
      </rPr>
      <t>5</t>
    </r>
  </si>
  <si>
    <r>
      <t xml:space="preserve">zinsung </t>
    </r>
    <r>
      <rPr>
        <b/>
        <vertAlign val="superscript"/>
        <sz val="6.6"/>
        <color theme="1"/>
        <rFont val="Arial"/>
        <family val="2"/>
      </rPr>
      <t xml:space="preserve">6 </t>
    </r>
  </si>
  <si>
    <t>aufwendungen</t>
  </si>
  <si>
    <t>tungs-</t>
  </si>
  <si>
    <t>des GJ</t>
  </si>
  <si>
    <t>schäft</t>
  </si>
  <si>
    <t>aufw.</t>
  </si>
  <si>
    <t>in %</t>
  </si>
  <si>
    <r>
      <t xml:space="preserve">in % </t>
    </r>
    <r>
      <rPr>
        <b/>
        <vertAlign val="superscript"/>
        <sz val="6.6"/>
        <color theme="1"/>
        <rFont val="Arial"/>
        <family val="2"/>
      </rPr>
      <t xml:space="preserve">7 </t>
    </r>
  </si>
  <si>
    <t>Branche</t>
  </si>
  <si>
    <t>ALLIANZ LEBEN</t>
  </si>
  <si>
    <t>R+V LEBENSVERS. AG</t>
  </si>
  <si>
    <t>GENERALI LEBEN AG</t>
  </si>
  <si>
    <t>DEBEKA LEBEN</t>
  </si>
  <si>
    <t>BAYERN-VERS.</t>
  </si>
  <si>
    <t>ZURICH DTSCH. HEROLD</t>
  </si>
  <si>
    <t>ALTE LEIPZIGER LEBEN</t>
  </si>
  <si>
    <t>AXA LEBEN</t>
  </si>
  <si>
    <t>PROXALTO LEBEN AG</t>
  </si>
  <si>
    <t>NÜRNBG. LEBEN</t>
  </si>
  <si>
    <t>WÜRTT. LEBEN</t>
  </si>
  <si>
    <t>COSMOS LEBEN</t>
  </si>
  <si>
    <t>SV SPARKASSENVERS.</t>
  </si>
  <si>
    <t>ERGO LEBEN AG</t>
  </si>
  <si>
    <t>HDI LEBEN AG</t>
  </si>
  <si>
    <t>VOLKSWOHL-BUND LEBEN</t>
  </si>
  <si>
    <t>PROV.NORDWEST LEBEN</t>
  </si>
  <si>
    <t>GOTHAER LEBEN AG</t>
  </si>
  <si>
    <t>SWISS LIFE AG (CH)</t>
  </si>
  <si>
    <t>PROV.RHEINLAND LEBEN</t>
  </si>
  <si>
    <t>HANSEMERKUR LEBEN</t>
  </si>
  <si>
    <t>WWK LEBEN</t>
  </si>
  <si>
    <t>SIGNAL IDUNA LV</t>
  </si>
  <si>
    <t>TARGO LEBEN AG</t>
  </si>
  <si>
    <t>HANNOVERSCHE LV AG</t>
  </si>
  <si>
    <t>ERGO VORSORGE LEBEN</t>
  </si>
  <si>
    <t>CONTINENTALE LV AG</t>
  </si>
  <si>
    <t>NEUE LEBEN LEBENSVERS</t>
  </si>
  <si>
    <t>LVM LEBEN</t>
  </si>
  <si>
    <t>SPARK.-VERS.SACHS.LEB</t>
  </si>
  <si>
    <t>PB LEBENSVERSICHERUNG</t>
  </si>
  <si>
    <t>LEBENSVERS. VON 1871</t>
  </si>
  <si>
    <t>HEIDELBERGER LV</t>
  </si>
  <si>
    <t>DT. ÄRZTEVERSICHERUNG</t>
  </si>
  <si>
    <t>HUK-COBURG-LEBEN</t>
  </si>
  <si>
    <t>STUTTGARTER LEBEN</t>
  </si>
  <si>
    <t>PROV. LEBEN HANNOVER</t>
  </si>
  <si>
    <t>VICTORIA LEBEN</t>
  </si>
  <si>
    <t>BALOISE LEBEN</t>
  </si>
  <si>
    <t>IDEAL LEBEN</t>
  </si>
  <si>
    <t>DEVK ALLG. LEBEN</t>
  </si>
  <si>
    <t>EUROPA LEBEN</t>
  </si>
  <si>
    <t>BL</t>
  </si>
  <si>
    <t>VPV LEBEN</t>
  </si>
  <si>
    <t>CONDOR LEBEN</t>
  </si>
  <si>
    <t>DEVK DT. EISENBAHN LV</t>
  </si>
  <si>
    <t>MYLIFE DEUTSCHLAND</t>
  </si>
  <si>
    <t>DIALOG LEBEN</t>
  </si>
  <si>
    <t>HELVETIA LEBEN</t>
  </si>
  <si>
    <t>BARMENIA LEBEN</t>
  </si>
  <si>
    <t>SKANDIA LEBEN</t>
  </si>
  <si>
    <t>DT. LEBENSVERS.</t>
  </si>
  <si>
    <t>ÖFF. LEBEN SA</t>
  </si>
  <si>
    <t>ÖFF. LEBEN BRAUNSCHW.</t>
  </si>
  <si>
    <t>CONCORDIA OECO LEBEN</t>
  </si>
  <si>
    <t>CREDIT LIFE AG</t>
  </si>
  <si>
    <t>MÜNCHENER VEREIN LEBEN</t>
  </si>
  <si>
    <t>VRK LV</t>
  </si>
  <si>
    <t>ATHORA LV AG</t>
  </si>
  <si>
    <t>FRANKFURT MÜNCHENER</t>
  </si>
  <si>
    <t>UNIVERSA LEBEN</t>
  </si>
  <si>
    <t>MECKLENBURG. LEBEN</t>
  </si>
  <si>
    <t>INTERRISK LEBENSVERS.</t>
  </si>
  <si>
    <t>R+V LEBEN</t>
  </si>
  <si>
    <t>BAYER. BEAMTEN LEBEN</t>
  </si>
  <si>
    <t>ÖFF. LEBEN OLDENBURG</t>
  </si>
  <si>
    <t>INTER LEBENSVERS. AG</t>
  </si>
  <si>
    <t>FRANKFURTER LEBEN</t>
  </si>
  <si>
    <t>ENTIS LV AG</t>
  </si>
  <si>
    <t>ITZEHOER LEBEN</t>
  </si>
  <si>
    <t>DELTA DIREKT LEBEN</t>
  </si>
  <si>
    <t>WGV-LEBEN</t>
  </si>
  <si>
    <t>NÜRNBERGER BEAMTEN LV</t>
  </si>
  <si>
    <t>DIREKTE LEBEN AG</t>
  </si>
  <si>
    <t>LIFESTYLE LV AG</t>
  </si>
  <si>
    <t>SÜDDT.LEBEN</t>
  </si>
  <si>
    <t>AIOI NISSAY DOWA LIFE INS.</t>
  </si>
  <si>
    <t>DORTMUNDER LEBEN</t>
  </si>
  <si>
    <t>LANDESLEBENSHILFE</t>
  </si>
  <si>
    <t>VER.POSTVERS.</t>
  </si>
  <si>
    <t>***</t>
  </si>
  <si>
    <t>PROTEKTOR LV AG</t>
  </si>
  <si>
    <t>SIGNAL IDUNA LEBEN AG</t>
  </si>
  <si>
    <r>
      <t>1</t>
    </r>
    <r>
      <rPr>
        <sz val="8"/>
        <color theme="1"/>
        <rFont val="Arial"/>
        <family val="2"/>
      </rPr>
      <t xml:space="preserve"> Einschließlich der Beiträge aus dem in Rückdeckung übernommenen Versicherungsgeschäft; ohne die Beiträge aus der Rückstellung für Beitragsrückerstattung.</t>
    </r>
  </si>
  <si>
    <r>
      <t>2</t>
    </r>
    <r>
      <rPr>
        <sz val="8"/>
        <color theme="1"/>
        <rFont val="Arial"/>
        <family val="2"/>
      </rPr>
      <t xml:space="preserve"> Nur selbst abgeschlossenes Versicherungsgeschäft; die Angaben beziehen sich auf die Versicherungssumme (bei Rentenversicherungen zwölffache Jahresrente).</t>
    </r>
  </si>
  <si>
    <r>
      <t>3</t>
    </r>
    <r>
      <rPr>
        <sz val="8"/>
        <color theme="1"/>
        <rFont val="Arial"/>
        <family val="2"/>
      </rPr>
      <t xml:space="preserve"> Sonstiger vorzeitiger Abgang zuzüglich Rückkäufe und Umwandlungen in beitragsfreie Versicherungen in Prozent der mittleren Bestandssumme des Geschäftsjahres.</t>
    </r>
  </si>
  <si>
    <r>
      <t>4</t>
    </r>
    <r>
      <rPr>
        <sz val="8"/>
        <color theme="1"/>
        <rFont val="Arial"/>
        <family val="2"/>
      </rPr>
      <t xml:space="preserve"> Einschließlich der Depotforderungen und der Kapitalanlagen für Rechnung und Risiko von Inhabern von Lebensversicherungspolicen.</t>
    </r>
  </si>
  <si>
    <r>
      <t>5</t>
    </r>
    <r>
      <rPr>
        <sz val="8"/>
        <color theme="1"/>
        <rFont val="Arial"/>
        <family val="2"/>
      </rPr>
      <t xml:space="preserve"> Posten I. 3. a), b) und e) des Formblatts 3 der RechVersV in Prozent des arithmetischen Mittels der Kapitalanlagen am Anfang und Ende des Berichtsjahres.</t>
    </r>
  </si>
  <si>
    <r>
      <t>6</t>
    </r>
    <r>
      <rPr>
        <sz val="8"/>
        <color theme="1"/>
        <rFont val="Arial"/>
        <family val="2"/>
      </rPr>
      <t xml:space="preserve"> Posten I. 3. abzüglich des Postens I. 10. des Formblatts 3 der RechVersV in Prozent des arithmetischen Mittels der Kapitalanlagen am Anfang und Ende des Berichtsjahres.</t>
    </r>
  </si>
  <si>
    <r>
      <t>7</t>
    </r>
    <r>
      <rPr>
        <sz val="8"/>
        <color theme="1"/>
        <rFont val="Arial"/>
        <family val="2"/>
      </rPr>
      <t xml:space="preserve"> In % der verdienten Brutto-Beiträge.</t>
    </r>
  </si>
  <si>
    <r>
      <t>8</t>
    </r>
    <r>
      <rPr>
        <sz val="8"/>
        <color theme="1"/>
        <rFont val="Arial"/>
        <family val="2"/>
      </rPr>
      <t xml:space="preserve"> Posten I. 8. des Formblatts 3 der RechVersV (Aufwendungen für erfolgsabhängige und erfolgsunabhängige Beitragsrückerstattungen für eigene Rechnung).</t>
    </r>
  </si>
  <si>
    <r>
      <t>9</t>
    </r>
    <r>
      <rPr>
        <sz val="8"/>
        <color theme="1"/>
        <rFont val="Arial"/>
        <family val="2"/>
      </rPr>
      <t xml:space="preserve"> Posten II. 11 des Formblatts 3 der RechVersV.</t>
    </r>
  </si>
  <si>
    <t>Tabelle 150 (1)</t>
  </si>
  <si>
    <t xml:space="preserve">               (Beträge in Mio. €, Anzahl in 1.000)</t>
  </si>
  <si>
    <t>Versicherungsarten</t>
  </si>
  <si>
    <t>An-</t>
  </si>
  <si>
    <r>
      <t>Anfangsbestand</t>
    </r>
    <r>
      <rPr>
        <vertAlign val="superscript"/>
        <sz val="6.6"/>
        <color theme="1"/>
        <rFont val="Arial"/>
        <family val="2"/>
      </rPr>
      <t>1</t>
    </r>
  </si>
  <si>
    <t>Zugang</t>
  </si>
  <si>
    <t>zahl</t>
  </si>
  <si>
    <t>Eingelöstes Neugeschäft</t>
  </si>
  <si>
    <t>Erhöhung d. Versicherungssummen</t>
  </si>
  <si>
    <r>
      <t>Gesamter Zugang</t>
    </r>
    <r>
      <rPr>
        <vertAlign val="superscript"/>
        <sz val="6.6"/>
        <color theme="1"/>
        <rFont val="Arial"/>
        <family val="2"/>
      </rPr>
      <t>2</t>
    </r>
  </si>
  <si>
    <t>der</t>
  </si>
  <si>
    <t>durch</t>
  </si>
  <si>
    <t>sonstige Erhöhungen</t>
  </si>
  <si>
    <t>VU</t>
  </si>
  <si>
    <t>Überschuss-</t>
  </si>
  <si>
    <t>Anzahl</t>
  </si>
  <si>
    <t>Vers.-</t>
  </si>
  <si>
    <t>Lfd.</t>
  </si>
  <si>
    <t>Einmal-</t>
  </si>
  <si>
    <t>anteile</t>
  </si>
  <si>
    <r>
      <t>Summe</t>
    </r>
    <r>
      <rPr>
        <vertAlign val="superscript"/>
        <sz val="6.6"/>
        <color theme="1"/>
        <rFont val="Arial"/>
        <family val="2"/>
      </rPr>
      <t>3</t>
    </r>
  </si>
  <si>
    <t>Beitrag</t>
  </si>
  <si>
    <t>beitrag</t>
  </si>
  <si>
    <t xml:space="preserve">Einzelversicherung </t>
  </si>
  <si>
    <t>- Kapitalbildende</t>
  </si>
  <si>
    <t xml:space="preserve">  Lebensversicherung</t>
  </si>
  <si>
    <t>- Risikoversicherung</t>
  </si>
  <si>
    <t>- Rentenversicherung</t>
  </si>
  <si>
    <t>- Berufsunfähigkeitsvers.</t>
  </si>
  <si>
    <t>- Pflegerentenversicherung</t>
  </si>
  <si>
    <t>- übrige Einzelversicherung</t>
  </si>
  <si>
    <t xml:space="preserve">  nach § 1 AltZertG</t>
  </si>
  <si>
    <r>
      <t xml:space="preserve">Kollektivversicherung </t>
    </r>
    <r>
      <rPr>
        <vertAlign val="superscript"/>
        <sz val="8"/>
        <color theme="1"/>
        <rFont val="Arial"/>
        <family val="2"/>
      </rPr>
      <t>4</t>
    </r>
  </si>
  <si>
    <t>- Kapitalversicherung</t>
  </si>
  <si>
    <t xml:space="preserve">  (einschl. Risikovers.)</t>
  </si>
  <si>
    <t>- Bausparrisikoversicherung</t>
  </si>
  <si>
    <t>- Restschuldversicherung</t>
  </si>
  <si>
    <t>- übrige Kollektivvers.</t>
  </si>
  <si>
    <t xml:space="preserve">  (einschl. Rentenvers.)</t>
  </si>
  <si>
    <t xml:space="preserve">Sonstige Lebensvers. </t>
  </si>
  <si>
    <t>- LV, bei der Anlagerisiko</t>
  </si>
  <si>
    <t xml:space="preserve">  vom VN getragen wird</t>
  </si>
  <si>
    <t>- Lebensversicherung ohne</t>
  </si>
  <si>
    <t xml:space="preserve">  Überschussbeteiligung</t>
  </si>
  <si>
    <t>- Tontinengeschäfte</t>
  </si>
  <si>
    <t>- Kapitalisierungsgeschäfte</t>
  </si>
  <si>
    <t>- LV, bei der Anlagerisiko vom</t>
  </si>
  <si>
    <t xml:space="preserve">  VN getr. wird nach § 1 AltZertG</t>
  </si>
  <si>
    <t xml:space="preserve">Gesamtgeschäft </t>
  </si>
  <si>
    <r>
      <t>1</t>
    </r>
    <r>
      <rPr>
        <sz val="8"/>
        <color theme="1"/>
        <rFont val="Arial"/>
        <family val="2"/>
      </rPr>
      <t xml:space="preserve"> Fremdwährungsversicherungen oder Versicherungen, bei denen das Anlagerisiko vom VN getragen wird, mit dem Kurswert zum Ende des Geschäftsjahres.</t>
    </r>
  </si>
  <si>
    <r>
      <t>2</t>
    </r>
    <r>
      <rPr>
        <sz val="8"/>
        <color theme="1"/>
        <rFont val="Arial"/>
        <family val="2"/>
      </rPr>
      <t xml:space="preserve"> Einschließlich des nicht gesondert aufgeführten Zugangs.</t>
    </r>
  </si>
  <si>
    <r>
      <t>3</t>
    </r>
    <r>
      <rPr>
        <sz val="8"/>
        <color theme="1"/>
        <rFont val="Arial"/>
        <family val="2"/>
      </rPr>
      <t xml:space="preserve"> Bei Versicherungen, bei denen die Leistung in Form einer Rente zu erbringen ist, ist als Versicherungssumme die zwölffache Jahresrente angegeben.</t>
    </r>
  </si>
  <si>
    <r>
      <t>4</t>
    </r>
    <r>
      <rPr>
        <sz val="8"/>
        <color theme="1"/>
        <rFont val="Arial"/>
        <family val="2"/>
      </rPr>
      <t xml:space="preserve"> Bei Kollektivversicherungen ist als Anzahl die Anzahl der Versicherungsverhältnisse angegeben.</t>
    </r>
  </si>
  <si>
    <t>Tabelle 150 (2)</t>
  </si>
  <si>
    <t xml:space="preserve">(Beträge in Mio. €, Anzahl in 1.000)                             </t>
  </si>
  <si>
    <t>Tod,</t>
  </si>
  <si>
    <t>Ablauf</t>
  </si>
  <si>
    <t>Rückkauf, Umwand-</t>
  </si>
  <si>
    <t>sonstiger</t>
  </si>
  <si>
    <r>
      <t>Gesamter Abgang</t>
    </r>
    <r>
      <rPr>
        <vertAlign val="superscript"/>
        <sz val="6.6"/>
        <color theme="1"/>
        <rFont val="Arial"/>
        <family val="2"/>
      </rPr>
      <t>1</t>
    </r>
  </si>
  <si>
    <t xml:space="preserve">  Berufsunfähigkeit  </t>
  </si>
  <si>
    <t>lung in beitragsfreie</t>
  </si>
  <si>
    <t>vorzeitiger Abgang</t>
  </si>
  <si>
    <t xml:space="preserve">   Versicherungen   </t>
  </si>
  <si>
    <r>
      <t>Summe</t>
    </r>
    <r>
      <rPr>
        <vertAlign val="superscript"/>
        <sz val="6.6"/>
        <color theme="1"/>
        <rFont val="Arial"/>
        <family val="2"/>
      </rPr>
      <t>2</t>
    </r>
  </si>
  <si>
    <t xml:space="preserve"> Lebensversicherung</t>
  </si>
  <si>
    <r>
      <t xml:space="preserve">Kollektivversicherung </t>
    </r>
    <r>
      <rPr>
        <vertAlign val="superscript"/>
        <sz val="8"/>
        <color theme="1"/>
        <rFont val="Arial"/>
        <family val="2"/>
      </rPr>
      <t>3</t>
    </r>
  </si>
  <si>
    <r>
      <t>1</t>
    </r>
    <r>
      <rPr>
        <sz val="8"/>
        <color theme="1"/>
        <rFont val="Arial"/>
        <family val="2"/>
      </rPr>
      <t xml:space="preserve"> Einschließlich des nicht gesondert aufgeführten übrigen Abgangs.</t>
    </r>
  </si>
  <si>
    <r>
      <t>2</t>
    </r>
    <r>
      <rPr>
        <sz val="8"/>
        <color theme="1"/>
        <rFont val="Arial"/>
        <family val="2"/>
      </rPr>
      <t xml:space="preserve"> Bei Versicherungen, bei denen die Leistung in Form einer Rente zu erbringen ist, ist als Versicherungssumme die zwölffache Jahresrente angegeben.</t>
    </r>
  </si>
  <si>
    <r>
      <t>3</t>
    </r>
    <r>
      <rPr>
        <sz val="8"/>
        <color theme="1"/>
        <rFont val="Arial"/>
        <family val="2"/>
      </rPr>
      <t xml:space="preserve"> Bei Kollektivversicherungen ist als Anzahl die Anzahl der Versicherungsverhältnisse angegeben.</t>
    </r>
  </si>
  <si>
    <t>Entwicklung des Bestandes an selbst abgeschlossenen Lebensversicherungen 2022</t>
  </si>
  <si>
    <t>Entwicklung der Kapitalanlagen (ohne Depotforderungen) 2022</t>
  </si>
  <si>
    <t>Ausgewählte Kennzahlen der Lebensversicherungsunternehmen 2022</t>
  </si>
  <si>
    <r>
      <t>2</t>
    </r>
    <r>
      <rPr>
        <sz val="8"/>
        <color theme="1"/>
        <rFont val="Arial"/>
        <family val="2"/>
      </rPr>
      <t xml:space="preserve"> Bei VVaG die Verlustrücklage nach § 193 VAG; bei öffentlich-rechtlichen Versicherungsunternehmen die Sicherheitsrücklage.</t>
    </r>
  </si>
  <si>
    <t>Rang</t>
  </si>
  <si>
    <t>Lebensversicherungsunternehmen</t>
  </si>
  <si>
    <t xml:space="preserve">   Lebensversicherungsunternehmen</t>
  </si>
  <si>
    <t xml:space="preserve">                                                  Lebensversicherungsunternehmen (Beträge in Tsd. €)</t>
  </si>
  <si>
    <t xml:space="preserve">Lebensversicherungsunternehmen                  </t>
  </si>
  <si>
    <t xml:space="preserve">              Lebensversicherungsunternehmen</t>
  </si>
  <si>
    <t xml:space="preserve">Lebensversicherungsunternehmen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</si>
</sst>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6.6"/>
      <color theme="1"/>
      <name val="Arial"/>
      <family val="2"/>
    </font>
    <font>
      <sz val="12"/>
      <color theme="1"/>
      <name val="Arial"/>
      <family val="2"/>
    </font>
    <font>
      <vertAlign val="superscript"/>
      <sz val="5.5"/>
      <color theme="1"/>
      <name val="Arial"/>
      <family val="2"/>
    </font>
    <font>
      <sz val="10"/>
      <color theme="1"/>
      <name val="Arial"/>
      <family val="2"/>
    </font>
    <font>
      <vertAlign val="superscript"/>
      <sz val="8"/>
      <color theme="1"/>
      <name val="Arial"/>
      <family val="2"/>
    </font>
    <font>
      <b/>
      <vertAlign val="superscript"/>
      <sz val="6.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3" fontId="6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3" fontId="6" fillId="0" borderId="0" xfId="0" applyNumberFormat="1" applyFont="1" applyAlignment="1">
      <alignment horizontal="right" vertical="center" wrapText="1"/>
    </xf>
    <xf numFmtId="0" fontId="6" fillId="0" borderId="3" xfId="0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3" fontId="6" fillId="0" borderId="5" xfId="0" applyNumberFormat="1" applyFont="1" applyBorder="1" applyAlignment="1">
      <alignment horizontal="right" wrapText="1"/>
    </xf>
    <xf numFmtId="0" fontId="10" fillId="0" borderId="0" xfId="0" applyFont="1" applyAlignment="1">
      <alignment horizontal="right" vertical="center" wrapText="1"/>
    </xf>
    <xf numFmtId="0" fontId="6" fillId="0" borderId="3" xfId="0" applyFont="1" applyBorder="1" applyAlignment="1">
      <alignment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" xfId="0" applyFont="1" applyBorder="1" applyAlignment="1">
      <alignment horizontal="right" vertical="center" wrapText="1"/>
    </xf>
    <xf numFmtId="3" fontId="6" fillId="0" borderId="5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horizontal="right" wrapText="1"/>
    </xf>
    <xf numFmtId="0" fontId="6" fillId="0" borderId="0" xfId="0" applyFont="1" applyAlignment="1">
      <alignment horizontal="right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right" wrapText="1"/>
    </xf>
    <xf numFmtId="3" fontId="6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0" fillId="0" borderId="0" xfId="0" applyFont="1"/>
    <xf numFmtId="3" fontId="6" fillId="0" borderId="2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3" fontId="6" fillId="0" borderId="0" xfId="0" applyNumberFormat="1" applyFont="1" applyAlignment="1">
      <alignment horizontal="right" wrapText="1"/>
    </xf>
    <xf numFmtId="3" fontId="6" fillId="0" borderId="2" xfId="0" applyNumberFormat="1" applyFont="1" applyBorder="1" applyAlignment="1">
      <alignment horizontal="right" wrapText="1"/>
    </xf>
    <xf numFmtId="3" fontId="6" fillId="0" borderId="0" xfId="0" applyNumberFormat="1" applyFont="1" applyFill="1" applyAlignment="1">
      <alignment horizontal="right" wrapText="1"/>
    </xf>
    <xf numFmtId="0" fontId="6" fillId="0" borderId="0" xfId="0" applyFont="1" applyAlignment="1">
      <alignment vertical="center" wrapText="1"/>
    </xf>
    <xf numFmtId="3" fontId="6" fillId="0" borderId="9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0" fontId="6" fillId="0" borderId="0" xfId="0" applyFont="1" applyAlignment="1">
      <alignment horizontal="right" wrapText="1"/>
    </xf>
    <xf numFmtId="0" fontId="7" fillId="0" borderId="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10" xfId="0" applyFont="1" applyBorder="1" applyAlignment="1">
      <alignment horizontal="right" vertical="center" wrapText="1"/>
    </xf>
    <xf numFmtId="3" fontId="6" fillId="0" borderId="10" xfId="0" applyNumberFormat="1" applyFont="1" applyBorder="1" applyAlignment="1">
      <alignment horizontal="right" vertical="center" wrapText="1"/>
    </xf>
    <xf numFmtId="0" fontId="6" fillId="0" borderId="9" xfId="0" applyFont="1" applyBorder="1" applyAlignment="1">
      <alignment horizontal="right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6" fillId="0" borderId="18" xfId="0" applyFont="1" applyBorder="1" applyAlignment="1">
      <alignment horizontal="right" vertical="center" wrapText="1"/>
    </xf>
    <xf numFmtId="3" fontId="6" fillId="0" borderId="18" xfId="0" applyNumberFormat="1" applyFont="1" applyBorder="1" applyAlignment="1">
      <alignment horizontal="right" vertical="center" wrapText="1"/>
    </xf>
    <xf numFmtId="0" fontId="6" fillId="0" borderId="14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right" wrapText="1"/>
    </xf>
    <xf numFmtId="3" fontId="6" fillId="0" borderId="10" xfId="0" applyNumberFormat="1" applyFont="1" applyBorder="1" applyAlignment="1">
      <alignment horizontal="right" wrapText="1"/>
    </xf>
    <xf numFmtId="0" fontId="7" fillId="0" borderId="13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right" wrapText="1"/>
    </xf>
    <xf numFmtId="3" fontId="6" fillId="0" borderId="0" xfId="0" applyNumberFormat="1" applyFont="1" applyAlignment="1">
      <alignment horizontal="right" wrapText="1"/>
    </xf>
    <xf numFmtId="0" fontId="4" fillId="0" borderId="2" xfId="0" applyFont="1" applyBorder="1" applyAlignment="1">
      <alignment horizontal="center" vertical="center" wrapText="1"/>
    </xf>
    <xf numFmtId="3" fontId="6" fillId="0" borderId="14" xfId="0" applyNumberFormat="1" applyFont="1" applyBorder="1" applyAlignment="1">
      <alignment horizontal="right" wrapText="1"/>
    </xf>
    <xf numFmtId="0" fontId="6" fillId="0" borderId="15" xfId="0" applyFont="1" applyBorder="1" applyAlignment="1">
      <alignment horizontal="right" wrapText="1"/>
    </xf>
    <xf numFmtId="0" fontId="9" fillId="0" borderId="0" xfId="0" applyFont="1" applyAlignment="1">
      <alignment vertical="center" wrapText="1"/>
    </xf>
    <xf numFmtId="0" fontId="6" fillId="0" borderId="11" xfId="0" applyFont="1" applyBorder="1" applyAlignment="1">
      <alignment horizontal="right" vertical="center" wrapText="1"/>
    </xf>
    <xf numFmtId="3" fontId="6" fillId="0" borderId="11" xfId="0" applyNumberFormat="1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9" fillId="0" borderId="13" xfId="0" applyFont="1" applyBorder="1" applyAlignment="1">
      <alignment vertical="center" wrapText="1"/>
    </xf>
    <xf numFmtId="3" fontId="6" fillId="0" borderId="9" xfId="0" applyNumberFormat="1" applyFont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wrapText="1"/>
    </xf>
    <xf numFmtId="0" fontId="4" fillId="0" borderId="7" xfId="0" applyFont="1" applyBorder="1" applyAlignment="1">
      <alignment horizontal="right" wrapText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3" fontId="6" fillId="0" borderId="12" xfId="0" applyNumberFormat="1" applyFont="1" applyBorder="1" applyAlignment="1">
      <alignment horizontal="right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6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7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9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8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33"/>
  <sheetViews>
    <sheetView tabSelected="1" workbookViewId="0">
      <selection sqref="A1:G1"/>
    </sheetView>
  </sheetViews>
  <sheetFormatPr baseColWidth="10" defaultRowHeight="15" x14ac:dyDescent="0.25"/>
  <cols>
    <col min="1" max="1" width="49.7109375" style="51" bestFit="1" customWidth="1"/>
    <col min="2" max="2" width="15" style="51" customWidth="1"/>
    <col min="3" max="3" width="13.5703125" style="51" customWidth="1"/>
    <col min="4" max="4" width="15" style="51" customWidth="1"/>
    <col min="5" max="5" width="13.5703125" style="51" customWidth="1"/>
    <col min="6" max="6" width="15" style="51" customWidth="1"/>
    <col min="7" max="7" width="13.5703125" style="51" customWidth="1"/>
  </cols>
  <sheetData>
    <row r="1" spans="1:8" ht="15" customHeight="1" x14ac:dyDescent="0.25">
      <c r="A1" s="63" t="s">
        <v>0</v>
      </c>
      <c r="B1" s="63"/>
      <c r="C1" s="63"/>
      <c r="D1" s="63"/>
      <c r="E1" s="63"/>
      <c r="F1" s="63"/>
      <c r="G1" s="63"/>
    </row>
    <row r="2" spans="1:8" ht="15.75" customHeight="1" thickBot="1" x14ac:dyDescent="0.3">
      <c r="A2" s="27"/>
      <c r="B2" s="64" t="s">
        <v>386</v>
      </c>
      <c r="C2" s="64"/>
      <c r="D2" s="64"/>
      <c r="E2" s="64"/>
      <c r="F2" s="64"/>
      <c r="G2" s="22" t="s">
        <v>1</v>
      </c>
    </row>
    <row r="3" spans="1:8" ht="15.75" thickTop="1" x14ac:dyDescent="0.25">
      <c r="A3" s="65" t="s">
        <v>2</v>
      </c>
      <c r="B3" s="67">
        <v>2022</v>
      </c>
      <c r="C3" s="65"/>
      <c r="D3" s="67">
        <v>2021</v>
      </c>
      <c r="E3" s="65"/>
      <c r="F3" s="67">
        <v>2020</v>
      </c>
      <c r="G3" s="68"/>
    </row>
    <row r="4" spans="1:8" ht="15.75" thickBot="1" x14ac:dyDescent="0.3">
      <c r="A4" s="66"/>
      <c r="B4" s="6" t="s">
        <v>3</v>
      </c>
      <c r="C4" s="37" t="s">
        <v>4</v>
      </c>
      <c r="D4" s="6" t="s">
        <v>3</v>
      </c>
      <c r="E4" s="37" t="s">
        <v>4</v>
      </c>
      <c r="F4" s="6" t="s">
        <v>3</v>
      </c>
      <c r="G4" s="6" t="s">
        <v>4</v>
      </c>
    </row>
    <row r="5" spans="1:8" ht="15.75" thickBot="1" x14ac:dyDescent="0.3">
      <c r="A5" s="37">
        <v>1</v>
      </c>
      <c r="B5" s="6">
        <v>2</v>
      </c>
      <c r="C5" s="37">
        <v>3</v>
      </c>
      <c r="D5" s="6">
        <v>4</v>
      </c>
      <c r="E5" s="37">
        <v>5</v>
      </c>
      <c r="F5" s="6">
        <v>6</v>
      </c>
      <c r="G5" s="6">
        <v>7</v>
      </c>
    </row>
    <row r="6" spans="1:8" x14ac:dyDescent="0.25">
      <c r="A6" s="12" t="s">
        <v>5</v>
      </c>
      <c r="B6" s="33"/>
      <c r="C6" s="13"/>
      <c r="D6" s="33"/>
      <c r="E6" s="13"/>
      <c r="F6" s="33"/>
      <c r="G6" s="33"/>
      <c r="H6" s="28"/>
    </row>
    <row r="7" spans="1:8" x14ac:dyDescent="0.25">
      <c r="A7" s="17" t="s">
        <v>6</v>
      </c>
      <c r="B7" s="39">
        <v>1660274</v>
      </c>
      <c r="C7" s="34">
        <v>0.14000000000000001</v>
      </c>
      <c r="D7" s="39">
        <v>1666146</v>
      </c>
      <c r="E7" s="34">
        <v>0.13</v>
      </c>
      <c r="F7" s="39">
        <v>1758059</v>
      </c>
      <c r="G7" s="35">
        <v>0.15</v>
      </c>
      <c r="H7" s="28"/>
    </row>
    <row r="8" spans="1:8" x14ac:dyDescent="0.25">
      <c r="A8" s="17" t="s">
        <v>7</v>
      </c>
      <c r="B8" s="39">
        <v>584890</v>
      </c>
      <c r="C8" s="34">
        <v>0.05</v>
      </c>
      <c r="D8" s="39">
        <v>668444</v>
      </c>
      <c r="E8" s="34">
        <v>0.05</v>
      </c>
      <c r="F8" s="39">
        <v>655454</v>
      </c>
      <c r="G8" s="35">
        <v>0.06</v>
      </c>
      <c r="H8" s="28"/>
    </row>
    <row r="9" spans="1:8" x14ac:dyDescent="0.25">
      <c r="A9" s="17" t="s">
        <v>8</v>
      </c>
      <c r="B9" s="39">
        <v>1038363320</v>
      </c>
      <c r="C9" s="34">
        <v>84.79</v>
      </c>
      <c r="D9" s="39">
        <v>1032108479</v>
      </c>
      <c r="E9" s="34">
        <v>83.3</v>
      </c>
      <c r="F9" s="39">
        <v>1006913979</v>
      </c>
      <c r="G9" s="35">
        <v>86.04</v>
      </c>
      <c r="H9" s="28"/>
    </row>
    <row r="10" spans="1:8" x14ac:dyDescent="0.25">
      <c r="A10" s="17" t="s">
        <v>9</v>
      </c>
      <c r="B10" s="39">
        <v>4295214</v>
      </c>
      <c r="C10" s="34">
        <v>0.35</v>
      </c>
      <c r="D10" s="39">
        <v>4268085</v>
      </c>
      <c r="E10" s="34">
        <v>0.34</v>
      </c>
      <c r="F10" s="39">
        <v>4254685</v>
      </c>
      <c r="G10" s="35">
        <v>0.36</v>
      </c>
      <c r="H10" s="28"/>
    </row>
    <row r="11" spans="1:8" x14ac:dyDescent="0.25">
      <c r="A11" s="17" t="s">
        <v>10</v>
      </c>
      <c r="B11" s="58">
        <v>154158787</v>
      </c>
      <c r="C11" s="59">
        <v>12.59</v>
      </c>
      <c r="D11" s="58">
        <v>173468070</v>
      </c>
      <c r="E11" s="59">
        <v>14</v>
      </c>
      <c r="F11" s="58">
        <v>131455218</v>
      </c>
      <c r="G11" s="60">
        <v>11.23</v>
      </c>
      <c r="H11" s="57"/>
    </row>
    <row r="12" spans="1:8" x14ac:dyDescent="0.25">
      <c r="A12" s="17" t="s">
        <v>11</v>
      </c>
      <c r="B12" s="58"/>
      <c r="C12" s="59"/>
      <c r="D12" s="58"/>
      <c r="E12" s="59"/>
      <c r="F12" s="58"/>
      <c r="G12" s="60"/>
      <c r="H12" s="57"/>
    </row>
    <row r="13" spans="1:8" x14ac:dyDescent="0.25">
      <c r="A13" s="17" t="s">
        <v>12</v>
      </c>
      <c r="B13" s="58">
        <v>1272189</v>
      </c>
      <c r="C13" s="59">
        <v>0.1</v>
      </c>
      <c r="D13" s="58">
        <v>1368151</v>
      </c>
      <c r="E13" s="59">
        <v>0.11</v>
      </c>
      <c r="F13" s="58">
        <v>1191950</v>
      </c>
      <c r="G13" s="60">
        <v>0.1</v>
      </c>
      <c r="H13" s="57"/>
    </row>
    <row r="14" spans="1:8" x14ac:dyDescent="0.25">
      <c r="A14" s="17" t="s">
        <v>13</v>
      </c>
      <c r="B14" s="58"/>
      <c r="C14" s="59"/>
      <c r="D14" s="58"/>
      <c r="E14" s="59"/>
      <c r="F14" s="58"/>
      <c r="G14" s="60"/>
      <c r="H14" s="57"/>
    </row>
    <row r="15" spans="1:8" x14ac:dyDescent="0.25">
      <c r="A15" s="17" t="s">
        <v>14</v>
      </c>
      <c r="B15" s="39">
        <v>4251777</v>
      </c>
      <c r="C15" s="34">
        <v>0.35</v>
      </c>
      <c r="D15" s="39">
        <v>4061276</v>
      </c>
      <c r="E15" s="34">
        <v>0.33</v>
      </c>
      <c r="F15" s="39">
        <v>3747590</v>
      </c>
      <c r="G15" s="35">
        <v>0.32</v>
      </c>
      <c r="H15" s="28"/>
    </row>
    <row r="16" spans="1:8" x14ac:dyDescent="0.25">
      <c r="A16" s="17" t="s">
        <v>15</v>
      </c>
      <c r="B16" s="39">
        <v>1218365</v>
      </c>
      <c r="C16" s="34">
        <v>0.1</v>
      </c>
      <c r="D16" s="39">
        <v>1221305</v>
      </c>
      <c r="E16" s="34">
        <v>0.1</v>
      </c>
      <c r="F16" s="39">
        <v>1233533</v>
      </c>
      <c r="G16" s="35">
        <v>0.11</v>
      </c>
      <c r="H16" s="28"/>
    </row>
    <row r="17" spans="1:8" x14ac:dyDescent="0.25">
      <c r="A17" s="17" t="s">
        <v>16</v>
      </c>
      <c r="B17" s="39">
        <v>4884342</v>
      </c>
      <c r="C17" s="34">
        <v>0.4</v>
      </c>
      <c r="D17" s="39">
        <v>5325895</v>
      </c>
      <c r="E17" s="34">
        <v>0.43</v>
      </c>
      <c r="F17" s="39">
        <v>5770840</v>
      </c>
      <c r="G17" s="35">
        <v>0.49</v>
      </c>
      <c r="H17" s="28"/>
    </row>
    <row r="18" spans="1:8" ht="15.75" thickBot="1" x14ac:dyDescent="0.3">
      <c r="A18" s="23" t="s">
        <v>17</v>
      </c>
      <c r="B18" s="32">
        <v>13871514</v>
      </c>
      <c r="C18" s="31">
        <v>1.1299999999999999</v>
      </c>
      <c r="D18" s="32">
        <v>14925262</v>
      </c>
      <c r="E18" s="31">
        <v>1.2</v>
      </c>
      <c r="F18" s="32">
        <v>13310624</v>
      </c>
      <c r="G18" s="24">
        <v>1.1399999999999999</v>
      </c>
      <c r="H18" s="28"/>
    </row>
    <row r="19" spans="1:8" x14ac:dyDescent="0.25">
      <c r="A19" s="12" t="s">
        <v>18</v>
      </c>
      <c r="B19" s="33"/>
      <c r="C19" s="13"/>
      <c r="D19" s="33"/>
      <c r="E19" s="13"/>
      <c r="F19" s="33"/>
      <c r="G19" s="33"/>
      <c r="H19" s="28"/>
    </row>
    <row r="20" spans="1:8" x14ac:dyDescent="0.25">
      <c r="A20" s="17" t="s">
        <v>19</v>
      </c>
      <c r="B20" s="39">
        <v>20114778</v>
      </c>
      <c r="C20" s="34">
        <v>1.64</v>
      </c>
      <c r="D20" s="39">
        <v>19623510</v>
      </c>
      <c r="E20" s="34">
        <v>1.58</v>
      </c>
      <c r="F20" s="39">
        <v>18706054</v>
      </c>
      <c r="G20" s="35">
        <v>1.6</v>
      </c>
      <c r="H20" s="28"/>
    </row>
    <row r="21" spans="1:8" x14ac:dyDescent="0.25">
      <c r="A21" s="17" t="s">
        <v>20</v>
      </c>
      <c r="B21" s="39">
        <v>2941661</v>
      </c>
      <c r="C21" s="34">
        <v>0.24</v>
      </c>
      <c r="D21" s="39">
        <v>3217661</v>
      </c>
      <c r="E21" s="34">
        <v>0.26</v>
      </c>
      <c r="F21" s="39">
        <v>3679177</v>
      </c>
      <c r="G21" s="35">
        <v>0.31</v>
      </c>
      <c r="H21" s="28"/>
    </row>
    <row r="22" spans="1:8" x14ac:dyDescent="0.25">
      <c r="A22" s="17" t="s">
        <v>21</v>
      </c>
      <c r="B22" s="39">
        <v>63672</v>
      </c>
      <c r="C22" s="34">
        <v>0.01</v>
      </c>
      <c r="D22" s="39">
        <v>63672</v>
      </c>
      <c r="E22" s="34">
        <v>0.01</v>
      </c>
      <c r="F22" s="39">
        <v>63672</v>
      </c>
      <c r="G22" s="35">
        <v>0.01</v>
      </c>
      <c r="H22" s="28"/>
    </row>
    <row r="23" spans="1:8" x14ac:dyDescent="0.25">
      <c r="A23" s="17" t="s">
        <v>22</v>
      </c>
      <c r="B23" s="39">
        <v>1005825340</v>
      </c>
      <c r="C23" s="34">
        <v>82.14</v>
      </c>
      <c r="D23" s="39">
        <v>998362667</v>
      </c>
      <c r="E23" s="34">
        <v>80.569999999999993</v>
      </c>
      <c r="F23" s="39">
        <v>971589196</v>
      </c>
      <c r="G23" s="35">
        <v>83.02</v>
      </c>
      <c r="H23" s="28"/>
    </row>
    <row r="24" spans="1:8" x14ac:dyDescent="0.25">
      <c r="A24" s="17" t="s">
        <v>23</v>
      </c>
      <c r="B24" s="58">
        <v>150516229</v>
      </c>
      <c r="C24" s="59">
        <v>12.29</v>
      </c>
      <c r="D24" s="58">
        <v>169748403</v>
      </c>
      <c r="E24" s="59">
        <v>13.7</v>
      </c>
      <c r="F24" s="58">
        <v>128185387</v>
      </c>
      <c r="G24" s="60">
        <v>10.95</v>
      </c>
      <c r="H24" s="57"/>
    </row>
    <row r="25" spans="1:8" x14ac:dyDescent="0.25">
      <c r="A25" s="17" t="s">
        <v>24</v>
      </c>
      <c r="B25" s="58"/>
      <c r="C25" s="59"/>
      <c r="D25" s="58"/>
      <c r="E25" s="59"/>
      <c r="F25" s="58"/>
      <c r="G25" s="60"/>
      <c r="H25" s="57"/>
    </row>
    <row r="26" spans="1:8" x14ac:dyDescent="0.25">
      <c r="A26" s="17" t="s">
        <v>25</v>
      </c>
      <c r="B26" s="39">
        <v>15672685</v>
      </c>
      <c r="C26" s="34">
        <v>1.28</v>
      </c>
      <c r="D26" s="39">
        <v>17255682</v>
      </c>
      <c r="E26" s="34">
        <v>1.39</v>
      </c>
      <c r="F26" s="39">
        <v>15469439</v>
      </c>
      <c r="G26" s="35">
        <v>1.32</v>
      </c>
      <c r="H26" s="28"/>
    </row>
    <row r="27" spans="1:8" x14ac:dyDescent="0.25">
      <c r="A27" s="17" t="s">
        <v>26</v>
      </c>
      <c r="B27" s="58">
        <v>13374334</v>
      </c>
      <c r="C27" s="59">
        <v>1.0900000000000001</v>
      </c>
      <c r="D27" s="58">
        <v>14391633</v>
      </c>
      <c r="E27" s="59">
        <v>1.1599999999999999</v>
      </c>
      <c r="F27" s="58">
        <v>15472368</v>
      </c>
      <c r="G27" s="60">
        <v>1.32</v>
      </c>
      <c r="H27" s="57"/>
    </row>
    <row r="28" spans="1:8" x14ac:dyDescent="0.25">
      <c r="A28" s="17" t="s">
        <v>27</v>
      </c>
      <c r="B28" s="58"/>
      <c r="C28" s="59"/>
      <c r="D28" s="58"/>
      <c r="E28" s="59"/>
      <c r="F28" s="58"/>
      <c r="G28" s="60"/>
      <c r="H28" s="57"/>
    </row>
    <row r="29" spans="1:8" x14ac:dyDescent="0.25">
      <c r="A29" s="17" t="s">
        <v>28</v>
      </c>
      <c r="B29" s="39">
        <v>2612563</v>
      </c>
      <c r="C29" s="34">
        <v>0.21</v>
      </c>
      <c r="D29" s="39">
        <v>3140794</v>
      </c>
      <c r="E29" s="34">
        <v>0.25</v>
      </c>
      <c r="F29" s="39">
        <v>2724696</v>
      </c>
      <c r="G29" s="35">
        <v>0.23</v>
      </c>
      <c r="H29" s="28"/>
    </row>
    <row r="30" spans="1:8" ht="15.75" thickBot="1" x14ac:dyDescent="0.3">
      <c r="A30" s="23" t="s">
        <v>29</v>
      </c>
      <c r="B30" s="32">
        <v>13439411</v>
      </c>
      <c r="C30" s="31">
        <v>1.1000000000000001</v>
      </c>
      <c r="D30" s="32">
        <v>13277091</v>
      </c>
      <c r="E30" s="31">
        <v>1.07</v>
      </c>
      <c r="F30" s="32">
        <v>14401943</v>
      </c>
      <c r="G30" s="24">
        <v>1.23</v>
      </c>
      <c r="H30" s="28"/>
    </row>
    <row r="31" spans="1:8" ht="15.75" thickBot="1" x14ac:dyDescent="0.3">
      <c r="A31" s="19" t="s">
        <v>30</v>
      </c>
      <c r="B31" s="32">
        <v>1224560672</v>
      </c>
      <c r="C31" s="31">
        <v>100</v>
      </c>
      <c r="D31" s="32">
        <v>1239081112</v>
      </c>
      <c r="E31" s="31">
        <v>100</v>
      </c>
      <c r="F31" s="32">
        <v>1170291933</v>
      </c>
      <c r="G31" s="24">
        <v>100</v>
      </c>
      <c r="H31" s="28"/>
    </row>
    <row r="32" spans="1:8" x14ac:dyDescent="0.25">
      <c r="A32" s="61" t="s">
        <v>31</v>
      </c>
      <c r="B32" s="61"/>
      <c r="C32" s="61"/>
      <c r="D32" s="61"/>
      <c r="E32" s="61"/>
      <c r="F32" s="61"/>
      <c r="G32" s="61"/>
    </row>
    <row r="33" spans="1:7" x14ac:dyDescent="0.25">
      <c r="A33" s="62"/>
      <c r="B33" s="62"/>
      <c r="C33" s="62"/>
      <c r="D33" s="62"/>
      <c r="E33" s="62"/>
      <c r="F33" s="62"/>
      <c r="G33" s="62"/>
    </row>
  </sheetData>
  <mergeCells count="35">
    <mergeCell ref="A1:G1"/>
    <mergeCell ref="B2:F2"/>
    <mergeCell ref="A3:A4"/>
    <mergeCell ref="B3:C3"/>
    <mergeCell ref="D3:E3"/>
    <mergeCell ref="F3:G3"/>
    <mergeCell ref="A32:G33"/>
    <mergeCell ref="H11:H12"/>
    <mergeCell ref="B13:B14"/>
    <mergeCell ref="C13:C14"/>
    <mergeCell ref="D13:D14"/>
    <mergeCell ref="E13:E14"/>
    <mergeCell ref="F13:F14"/>
    <mergeCell ref="G13:G14"/>
    <mergeCell ref="H13:H14"/>
    <mergeCell ref="B11:B12"/>
    <mergeCell ref="C11:C12"/>
    <mergeCell ref="D11:D12"/>
    <mergeCell ref="E11:E12"/>
    <mergeCell ref="F11:F12"/>
    <mergeCell ref="G11:G12"/>
    <mergeCell ref="H24:H25"/>
    <mergeCell ref="H27:H28"/>
    <mergeCell ref="B24:B25"/>
    <mergeCell ref="C24:C25"/>
    <mergeCell ref="D24:D25"/>
    <mergeCell ref="E24:E25"/>
    <mergeCell ref="F24:F25"/>
    <mergeCell ref="G24:G25"/>
    <mergeCell ref="D27:D28"/>
    <mergeCell ref="B27:B28"/>
    <mergeCell ref="C27:C28"/>
    <mergeCell ref="E27:E28"/>
    <mergeCell ref="F27:F28"/>
    <mergeCell ref="G27:G28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O35"/>
  <sheetViews>
    <sheetView workbookViewId="0">
      <selection sqref="A1:M1"/>
    </sheetView>
  </sheetViews>
  <sheetFormatPr baseColWidth="10" defaultRowHeight="15" x14ac:dyDescent="0.25"/>
  <cols>
    <col min="1" max="1" width="23.140625" style="51" bestFit="1" customWidth="1"/>
    <col min="2" max="2" width="10" style="51" customWidth="1"/>
    <col min="3" max="3" width="5.7109375" style="51" customWidth="1"/>
    <col min="4" max="4" width="8.5703125" style="51" customWidth="1"/>
    <col min="5" max="6" width="5.7109375" style="51" customWidth="1"/>
    <col min="7" max="7" width="15.140625" style="51" customWidth="1"/>
    <col min="8" max="8" width="12.85546875" style="51" customWidth="1"/>
    <col min="9" max="9" width="7.85546875" style="51" customWidth="1"/>
    <col min="10" max="10" width="14.140625" style="51" customWidth="1"/>
    <col min="11" max="11" width="8.5703125" style="51" customWidth="1"/>
    <col min="12" max="13" width="5.7109375" style="51" customWidth="1"/>
  </cols>
  <sheetData>
    <row r="1" spans="1:13" ht="15" customHeight="1" x14ac:dyDescent="0.25">
      <c r="A1" s="63" t="s">
        <v>381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25.5" customHeight="1" thickBot="1" x14ac:dyDescent="0.3">
      <c r="A2" s="73"/>
      <c r="B2" s="73"/>
      <c r="C2" s="73"/>
      <c r="D2" s="64" t="s">
        <v>385</v>
      </c>
      <c r="E2" s="64"/>
      <c r="F2" s="64"/>
      <c r="G2" s="64"/>
      <c r="H2" s="64"/>
      <c r="I2" s="64"/>
      <c r="J2" s="64"/>
      <c r="K2" s="64"/>
      <c r="L2" s="74" t="s">
        <v>32</v>
      </c>
      <c r="M2" s="74"/>
    </row>
    <row r="3" spans="1:13" ht="24.75" thickTop="1" x14ac:dyDescent="0.25">
      <c r="A3" s="65" t="s">
        <v>33</v>
      </c>
      <c r="B3" s="67" t="s">
        <v>34</v>
      </c>
      <c r="C3" s="65"/>
      <c r="D3" s="67" t="s">
        <v>35</v>
      </c>
      <c r="E3" s="68"/>
      <c r="F3" s="65"/>
      <c r="G3" s="36" t="s">
        <v>36</v>
      </c>
      <c r="H3" s="36" t="s">
        <v>37</v>
      </c>
      <c r="I3" s="36" t="s">
        <v>38</v>
      </c>
      <c r="J3" s="36" t="s">
        <v>39</v>
      </c>
      <c r="K3" s="67" t="s">
        <v>40</v>
      </c>
      <c r="L3" s="68"/>
      <c r="M3" s="68"/>
    </row>
    <row r="4" spans="1:13" ht="15.75" thickBot="1" x14ac:dyDescent="0.3">
      <c r="A4" s="66"/>
      <c r="B4" s="37" t="s">
        <v>41</v>
      </c>
      <c r="C4" s="37" t="s">
        <v>42</v>
      </c>
      <c r="D4" s="37" t="s">
        <v>41</v>
      </c>
      <c r="E4" s="37" t="s">
        <v>42</v>
      </c>
      <c r="F4" s="37" t="s">
        <v>43</v>
      </c>
      <c r="G4" s="37" t="s">
        <v>41</v>
      </c>
      <c r="H4" s="37" t="s">
        <v>41</v>
      </c>
      <c r="I4" s="37" t="s">
        <v>41</v>
      </c>
      <c r="J4" s="37" t="s">
        <v>41</v>
      </c>
      <c r="K4" s="37" t="s">
        <v>41</v>
      </c>
      <c r="L4" s="37" t="s">
        <v>42</v>
      </c>
      <c r="M4" s="6" t="s">
        <v>44</v>
      </c>
    </row>
    <row r="5" spans="1:13" ht="15.75" thickBot="1" x14ac:dyDescent="0.3">
      <c r="A5" s="37">
        <v>1</v>
      </c>
      <c r="B5" s="37">
        <v>2</v>
      </c>
      <c r="C5" s="37">
        <v>3</v>
      </c>
      <c r="D5" s="37">
        <v>4</v>
      </c>
      <c r="E5" s="37">
        <v>5</v>
      </c>
      <c r="F5" s="37">
        <v>6</v>
      </c>
      <c r="G5" s="37">
        <v>7</v>
      </c>
      <c r="H5" s="37">
        <v>8</v>
      </c>
      <c r="I5" s="37">
        <v>9</v>
      </c>
      <c r="J5" s="37">
        <v>10</v>
      </c>
      <c r="K5" s="37">
        <v>11</v>
      </c>
      <c r="L5" s="37">
        <v>12</v>
      </c>
      <c r="M5" s="6">
        <v>13</v>
      </c>
    </row>
    <row r="6" spans="1:13" x14ac:dyDescent="0.25">
      <c r="A6" s="13" t="s">
        <v>45</v>
      </c>
      <c r="B6" s="76">
        <v>11098</v>
      </c>
      <c r="C6" s="75">
        <v>1.1000000000000001</v>
      </c>
      <c r="D6" s="75">
        <v>759</v>
      </c>
      <c r="E6" s="75">
        <v>0.4</v>
      </c>
      <c r="F6" s="75">
        <v>6.8</v>
      </c>
      <c r="G6" s="75">
        <v>19</v>
      </c>
      <c r="H6" s="75" t="s">
        <v>46</v>
      </c>
      <c r="I6" s="76">
        <v>1028</v>
      </c>
      <c r="J6" s="75">
        <v>276</v>
      </c>
      <c r="K6" s="76">
        <v>10573</v>
      </c>
      <c r="L6" s="75">
        <v>1</v>
      </c>
      <c r="M6" s="77">
        <v>-4.7</v>
      </c>
    </row>
    <row r="7" spans="1:13" x14ac:dyDescent="0.25">
      <c r="A7" s="13" t="s">
        <v>47</v>
      </c>
      <c r="B7" s="71"/>
      <c r="C7" s="70"/>
      <c r="D7" s="70"/>
      <c r="E7" s="70"/>
      <c r="F7" s="70"/>
      <c r="G7" s="70"/>
      <c r="H7" s="70"/>
      <c r="I7" s="71"/>
      <c r="J7" s="70"/>
      <c r="K7" s="71"/>
      <c r="L7" s="70"/>
      <c r="M7" s="72"/>
    </row>
    <row r="8" spans="1:13" x14ac:dyDescent="0.25">
      <c r="A8" s="13" t="s">
        <v>48</v>
      </c>
      <c r="B8" s="14">
        <v>66822</v>
      </c>
      <c r="C8" s="15">
        <v>6.5</v>
      </c>
      <c r="D8" s="14">
        <v>24382</v>
      </c>
      <c r="E8" s="15">
        <v>12.4</v>
      </c>
      <c r="F8" s="15">
        <v>36.5</v>
      </c>
      <c r="G8" s="15">
        <v>37</v>
      </c>
      <c r="H8" s="15">
        <v>132</v>
      </c>
      <c r="I8" s="14">
        <v>7242</v>
      </c>
      <c r="J8" s="15">
        <v>156</v>
      </c>
      <c r="K8" s="14">
        <v>83975</v>
      </c>
      <c r="L8" s="15">
        <v>8.1</v>
      </c>
      <c r="M8" s="16">
        <v>25.7</v>
      </c>
    </row>
    <row r="9" spans="1:13" x14ac:dyDescent="0.25">
      <c r="A9" s="13" t="s">
        <v>49</v>
      </c>
      <c r="B9" s="71">
        <v>12039</v>
      </c>
      <c r="C9" s="70">
        <v>1.2</v>
      </c>
      <c r="D9" s="71">
        <v>1971</v>
      </c>
      <c r="E9" s="70">
        <v>1</v>
      </c>
      <c r="F9" s="70">
        <v>16.399999999999999</v>
      </c>
      <c r="G9" s="70">
        <v>3</v>
      </c>
      <c r="H9" s="70">
        <v>-100</v>
      </c>
      <c r="I9" s="71">
        <v>1028</v>
      </c>
      <c r="J9" s="70">
        <v>18</v>
      </c>
      <c r="K9" s="71">
        <v>12867</v>
      </c>
      <c r="L9" s="70">
        <v>1.2</v>
      </c>
      <c r="M9" s="72">
        <v>6.9</v>
      </c>
    </row>
    <row r="10" spans="1:13" x14ac:dyDescent="0.25">
      <c r="A10" s="13" t="s">
        <v>50</v>
      </c>
      <c r="B10" s="71"/>
      <c r="C10" s="70"/>
      <c r="D10" s="71"/>
      <c r="E10" s="70"/>
      <c r="F10" s="70"/>
      <c r="G10" s="70"/>
      <c r="H10" s="70"/>
      <c r="I10" s="71"/>
      <c r="J10" s="70"/>
      <c r="K10" s="71"/>
      <c r="L10" s="70"/>
      <c r="M10" s="72"/>
    </row>
    <row r="11" spans="1:13" x14ac:dyDescent="0.25">
      <c r="A11" s="13" t="s">
        <v>51</v>
      </c>
      <c r="B11" s="14">
        <v>7677</v>
      </c>
      <c r="C11" s="15">
        <v>0.7</v>
      </c>
      <c r="D11" s="14">
        <v>2190</v>
      </c>
      <c r="E11" s="15">
        <v>1.1000000000000001</v>
      </c>
      <c r="F11" s="15">
        <v>28.5</v>
      </c>
      <c r="G11" s="15">
        <v>45</v>
      </c>
      <c r="H11" s="15">
        <v>-9</v>
      </c>
      <c r="I11" s="15">
        <v>593</v>
      </c>
      <c r="J11" s="15">
        <v>109</v>
      </c>
      <c r="K11" s="14">
        <v>9201</v>
      </c>
      <c r="L11" s="15">
        <v>0.9</v>
      </c>
      <c r="M11" s="16">
        <v>19.8</v>
      </c>
    </row>
    <row r="12" spans="1:13" x14ac:dyDescent="0.25">
      <c r="A12" s="13" t="s">
        <v>49</v>
      </c>
      <c r="B12" s="71">
        <v>1416</v>
      </c>
      <c r="C12" s="70">
        <v>0.1</v>
      </c>
      <c r="D12" s="70">
        <v>227</v>
      </c>
      <c r="E12" s="70">
        <v>0.1</v>
      </c>
      <c r="F12" s="70">
        <v>16</v>
      </c>
      <c r="G12" s="70">
        <v>5</v>
      </c>
      <c r="H12" s="70">
        <v>-47</v>
      </c>
      <c r="I12" s="70">
        <v>184</v>
      </c>
      <c r="J12" s="70">
        <v>4</v>
      </c>
      <c r="K12" s="71">
        <v>1414</v>
      </c>
      <c r="L12" s="70">
        <v>0.1</v>
      </c>
      <c r="M12" s="72">
        <v>-0.2</v>
      </c>
    </row>
    <row r="13" spans="1:13" x14ac:dyDescent="0.25">
      <c r="A13" s="13" t="s">
        <v>52</v>
      </c>
      <c r="B13" s="71"/>
      <c r="C13" s="70"/>
      <c r="D13" s="70"/>
      <c r="E13" s="70"/>
      <c r="F13" s="70"/>
      <c r="G13" s="70"/>
      <c r="H13" s="70"/>
      <c r="I13" s="70"/>
      <c r="J13" s="70"/>
      <c r="K13" s="71"/>
      <c r="L13" s="70"/>
      <c r="M13" s="72"/>
    </row>
    <row r="14" spans="1:13" x14ac:dyDescent="0.25">
      <c r="A14" s="13" t="s">
        <v>53</v>
      </c>
      <c r="B14" s="71"/>
      <c r="C14" s="70"/>
      <c r="D14" s="70"/>
      <c r="E14" s="70"/>
      <c r="F14" s="70"/>
      <c r="G14" s="70"/>
      <c r="H14" s="70"/>
      <c r="I14" s="70"/>
      <c r="J14" s="70"/>
      <c r="K14" s="71"/>
      <c r="L14" s="70"/>
      <c r="M14" s="72"/>
    </row>
    <row r="15" spans="1:13" x14ac:dyDescent="0.25">
      <c r="A15" s="13" t="s">
        <v>54</v>
      </c>
      <c r="B15" s="14">
        <v>1434</v>
      </c>
      <c r="C15" s="15">
        <v>0.1</v>
      </c>
      <c r="D15" s="15">
        <v>203</v>
      </c>
      <c r="E15" s="15">
        <v>0.1</v>
      </c>
      <c r="F15" s="15">
        <v>14.1</v>
      </c>
      <c r="G15" s="15">
        <v>7</v>
      </c>
      <c r="H15" s="15" t="s">
        <v>46</v>
      </c>
      <c r="I15" s="15">
        <v>542</v>
      </c>
      <c r="J15" s="15">
        <v>107</v>
      </c>
      <c r="K15" s="15">
        <v>995</v>
      </c>
      <c r="L15" s="15">
        <v>0.1</v>
      </c>
      <c r="M15" s="16">
        <v>-30.6</v>
      </c>
    </row>
    <row r="16" spans="1:13" x14ac:dyDescent="0.25">
      <c r="A16" s="13" t="s">
        <v>55</v>
      </c>
      <c r="B16" s="14">
        <v>424704</v>
      </c>
      <c r="C16" s="15">
        <v>41.2</v>
      </c>
      <c r="D16" s="14">
        <v>81479</v>
      </c>
      <c r="E16" s="15">
        <v>41.3</v>
      </c>
      <c r="F16" s="15">
        <v>19.2</v>
      </c>
      <c r="G16" s="15">
        <v>68</v>
      </c>
      <c r="H16" s="15">
        <v>91</v>
      </c>
      <c r="I16" s="14">
        <v>79692</v>
      </c>
      <c r="J16" s="14">
        <v>5178</v>
      </c>
      <c r="K16" s="14">
        <v>421471</v>
      </c>
      <c r="L16" s="15">
        <v>40.6</v>
      </c>
      <c r="M16" s="16">
        <v>-0.8</v>
      </c>
    </row>
    <row r="17" spans="1:15" x14ac:dyDescent="0.25">
      <c r="A17" s="13" t="s">
        <v>56</v>
      </c>
      <c r="B17" s="71">
        <v>1079</v>
      </c>
      <c r="C17" s="70">
        <v>0.1</v>
      </c>
      <c r="D17" s="70">
        <v>52</v>
      </c>
      <c r="E17" s="70">
        <v>0</v>
      </c>
      <c r="F17" s="70">
        <v>4.8</v>
      </c>
      <c r="G17" s="70" t="s">
        <v>46</v>
      </c>
      <c r="H17" s="70">
        <v>-81</v>
      </c>
      <c r="I17" s="70">
        <v>88</v>
      </c>
      <c r="J17" s="70">
        <v>46</v>
      </c>
      <c r="K17" s="70">
        <v>915</v>
      </c>
      <c r="L17" s="70">
        <v>0.1</v>
      </c>
      <c r="M17" s="72">
        <v>-15.1</v>
      </c>
    </row>
    <row r="18" spans="1:15" x14ac:dyDescent="0.25">
      <c r="A18" s="13" t="s">
        <v>57</v>
      </c>
      <c r="B18" s="71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2"/>
    </row>
    <row r="19" spans="1:15" x14ac:dyDescent="0.25">
      <c r="A19" s="13" t="s">
        <v>58</v>
      </c>
      <c r="B19" s="71">
        <v>202704</v>
      </c>
      <c r="C19" s="70">
        <v>19.600000000000001</v>
      </c>
      <c r="D19" s="71">
        <v>50184</v>
      </c>
      <c r="E19" s="70">
        <v>25.5</v>
      </c>
      <c r="F19" s="70">
        <v>24.8</v>
      </c>
      <c r="G19" s="70">
        <v>11</v>
      </c>
      <c r="H19" s="70" t="s">
        <v>46</v>
      </c>
      <c r="I19" s="71">
        <v>37116</v>
      </c>
      <c r="J19" s="70">
        <v>372</v>
      </c>
      <c r="K19" s="71">
        <v>215411</v>
      </c>
      <c r="L19" s="70">
        <v>20.7</v>
      </c>
      <c r="M19" s="72">
        <v>6.3</v>
      </c>
    </row>
    <row r="20" spans="1:15" x14ac:dyDescent="0.25">
      <c r="A20" s="13" t="s">
        <v>59</v>
      </c>
      <c r="B20" s="71"/>
      <c r="C20" s="70"/>
      <c r="D20" s="71"/>
      <c r="E20" s="70"/>
      <c r="F20" s="70"/>
      <c r="G20" s="70"/>
      <c r="H20" s="70"/>
      <c r="I20" s="71"/>
      <c r="J20" s="70"/>
      <c r="K20" s="71"/>
      <c r="L20" s="70"/>
      <c r="M20" s="72"/>
    </row>
    <row r="21" spans="1:15" x14ac:dyDescent="0.25">
      <c r="A21" s="13" t="s">
        <v>60</v>
      </c>
      <c r="B21" s="71">
        <v>71691</v>
      </c>
      <c r="C21" s="70">
        <v>6.9</v>
      </c>
      <c r="D21" s="71">
        <v>9460</v>
      </c>
      <c r="E21" s="70">
        <v>4.8</v>
      </c>
      <c r="F21" s="70">
        <v>13.2</v>
      </c>
      <c r="G21" s="70">
        <v>3</v>
      </c>
      <c r="H21" s="70">
        <v>4</v>
      </c>
      <c r="I21" s="71">
        <v>10155</v>
      </c>
      <c r="J21" s="70">
        <v>14</v>
      </c>
      <c r="K21" s="71">
        <v>70990</v>
      </c>
      <c r="L21" s="70">
        <v>6.8</v>
      </c>
      <c r="M21" s="72">
        <v>-1</v>
      </c>
    </row>
    <row r="22" spans="1:15" x14ac:dyDescent="0.25">
      <c r="A22" s="13" t="s">
        <v>61</v>
      </c>
      <c r="B22" s="71"/>
      <c r="C22" s="70"/>
      <c r="D22" s="71"/>
      <c r="E22" s="70"/>
      <c r="F22" s="70"/>
      <c r="G22" s="70"/>
      <c r="H22" s="70"/>
      <c r="I22" s="71"/>
      <c r="J22" s="70"/>
      <c r="K22" s="71"/>
      <c r="L22" s="70"/>
      <c r="M22" s="72"/>
    </row>
    <row r="23" spans="1:15" x14ac:dyDescent="0.25">
      <c r="A23" s="13" t="s">
        <v>62</v>
      </c>
      <c r="B23" s="14">
        <v>139368</v>
      </c>
      <c r="C23" s="15">
        <v>13.5</v>
      </c>
      <c r="D23" s="14">
        <v>9655</v>
      </c>
      <c r="E23" s="15">
        <v>4.9000000000000004</v>
      </c>
      <c r="F23" s="15">
        <v>6.9</v>
      </c>
      <c r="G23" s="15">
        <v>2</v>
      </c>
      <c r="H23" s="15">
        <v>69</v>
      </c>
      <c r="I23" s="14">
        <v>24970</v>
      </c>
      <c r="J23" s="15">
        <v>13</v>
      </c>
      <c r="K23" s="14">
        <v>124112</v>
      </c>
      <c r="L23" s="15">
        <v>12</v>
      </c>
      <c r="M23" s="16">
        <v>-10.9</v>
      </c>
    </row>
    <row r="24" spans="1:15" x14ac:dyDescent="0.25">
      <c r="A24" s="13" t="s">
        <v>63</v>
      </c>
      <c r="B24" s="71">
        <v>82243</v>
      </c>
      <c r="C24" s="70">
        <v>8</v>
      </c>
      <c r="D24" s="71">
        <v>5530</v>
      </c>
      <c r="E24" s="70">
        <v>2.8</v>
      </c>
      <c r="F24" s="70">
        <v>6.7</v>
      </c>
      <c r="G24" s="70">
        <v>3</v>
      </c>
      <c r="H24" s="70">
        <v>-84</v>
      </c>
      <c r="I24" s="71">
        <v>11991</v>
      </c>
      <c r="J24" s="70">
        <v>15</v>
      </c>
      <c r="K24" s="71">
        <v>75686</v>
      </c>
      <c r="L24" s="70">
        <v>7.3</v>
      </c>
      <c r="M24" s="72">
        <v>-8</v>
      </c>
    </row>
    <row r="25" spans="1:15" x14ac:dyDescent="0.25">
      <c r="A25" s="13" t="s">
        <v>64</v>
      </c>
      <c r="B25" s="71"/>
      <c r="C25" s="70"/>
      <c r="D25" s="71"/>
      <c r="E25" s="70"/>
      <c r="F25" s="70"/>
      <c r="G25" s="70"/>
      <c r="H25" s="70"/>
      <c r="I25" s="71"/>
      <c r="J25" s="70"/>
      <c r="K25" s="71"/>
      <c r="L25" s="70"/>
      <c r="M25" s="72"/>
    </row>
    <row r="26" spans="1:15" x14ac:dyDescent="0.25">
      <c r="A26" s="13" t="s">
        <v>65</v>
      </c>
      <c r="B26" s="71">
        <v>1623</v>
      </c>
      <c r="C26" s="70">
        <v>0.2</v>
      </c>
      <c r="D26" s="70">
        <v>250</v>
      </c>
      <c r="E26" s="70">
        <v>0.1</v>
      </c>
      <c r="F26" s="70">
        <v>15.4</v>
      </c>
      <c r="G26" s="70">
        <v>0</v>
      </c>
      <c r="H26" s="70">
        <v>-8</v>
      </c>
      <c r="I26" s="70">
        <v>399</v>
      </c>
      <c r="J26" s="70">
        <v>0</v>
      </c>
      <c r="K26" s="71">
        <v>1466</v>
      </c>
      <c r="L26" s="70">
        <v>0.1</v>
      </c>
      <c r="M26" s="72">
        <v>-9.6999999999999993</v>
      </c>
    </row>
    <row r="27" spans="1:15" x14ac:dyDescent="0.25">
      <c r="A27" s="13" t="s">
        <v>66</v>
      </c>
      <c r="B27" s="71"/>
      <c r="C27" s="70"/>
      <c r="D27" s="70"/>
      <c r="E27" s="70"/>
      <c r="F27" s="70"/>
      <c r="G27" s="70"/>
      <c r="H27" s="70"/>
      <c r="I27" s="70"/>
      <c r="J27" s="70"/>
      <c r="K27" s="71"/>
      <c r="L27" s="70"/>
      <c r="M27" s="72"/>
    </row>
    <row r="28" spans="1:15" x14ac:dyDescent="0.25">
      <c r="A28" s="13" t="s">
        <v>67</v>
      </c>
      <c r="B28" s="14">
        <v>2878</v>
      </c>
      <c r="C28" s="15">
        <v>0.3</v>
      </c>
      <c r="D28" s="15">
        <v>283</v>
      </c>
      <c r="E28" s="15">
        <v>0.1</v>
      </c>
      <c r="F28" s="15">
        <v>9.8000000000000007</v>
      </c>
      <c r="G28" s="15">
        <v>0</v>
      </c>
      <c r="H28" s="15">
        <v>232</v>
      </c>
      <c r="I28" s="15">
        <v>638</v>
      </c>
      <c r="J28" s="15">
        <v>5</v>
      </c>
      <c r="K28" s="14">
        <v>2751</v>
      </c>
      <c r="L28" s="15">
        <v>0.3</v>
      </c>
      <c r="M28" s="16">
        <v>-4.4000000000000004</v>
      </c>
    </row>
    <row r="29" spans="1:15" x14ac:dyDescent="0.25">
      <c r="A29" s="13" t="s">
        <v>68</v>
      </c>
      <c r="B29" s="14">
        <v>1257</v>
      </c>
      <c r="C29" s="15">
        <v>0.1</v>
      </c>
      <c r="D29" s="14">
        <v>4313</v>
      </c>
      <c r="E29" s="15">
        <v>2.2000000000000002</v>
      </c>
      <c r="F29" s="15">
        <v>343.2</v>
      </c>
      <c r="G29" s="15">
        <v>0</v>
      </c>
      <c r="H29" s="15">
        <v>-1</v>
      </c>
      <c r="I29" s="14">
        <v>3888</v>
      </c>
      <c r="J29" s="15" t="s">
        <v>46</v>
      </c>
      <c r="K29" s="14">
        <v>1681</v>
      </c>
      <c r="L29" s="15">
        <v>0.2</v>
      </c>
      <c r="M29" s="16">
        <v>33.700000000000003</v>
      </c>
    </row>
    <row r="30" spans="1:15" ht="15.75" thickBot="1" x14ac:dyDescent="0.3">
      <c r="A30" s="23" t="s">
        <v>69</v>
      </c>
      <c r="B30" s="20">
        <v>4023</v>
      </c>
      <c r="C30" s="31">
        <v>0.4</v>
      </c>
      <c r="D30" s="20">
        <v>6248</v>
      </c>
      <c r="E30" s="31">
        <v>3.2</v>
      </c>
      <c r="F30" s="31">
        <v>155.30000000000001</v>
      </c>
      <c r="G30" s="31">
        <v>2</v>
      </c>
      <c r="H30" s="31">
        <v>-201</v>
      </c>
      <c r="I30" s="20">
        <v>5150</v>
      </c>
      <c r="J30" s="31">
        <v>66</v>
      </c>
      <c r="K30" s="20">
        <v>4856</v>
      </c>
      <c r="L30" s="31">
        <v>0.5</v>
      </c>
      <c r="M30" s="24">
        <v>20.7</v>
      </c>
    </row>
    <row r="31" spans="1:15" x14ac:dyDescent="0.25">
      <c r="A31" s="13" t="s">
        <v>70</v>
      </c>
      <c r="B31" s="14">
        <v>1032055</v>
      </c>
      <c r="C31" s="15">
        <v>100</v>
      </c>
      <c r="D31" s="14">
        <v>197185</v>
      </c>
      <c r="E31" s="15">
        <v>100</v>
      </c>
      <c r="F31" s="15">
        <v>19.100000000000001</v>
      </c>
      <c r="G31" s="15">
        <v>207</v>
      </c>
      <c r="H31" s="15">
        <v>-4</v>
      </c>
      <c r="I31" s="14">
        <v>184702</v>
      </c>
      <c r="J31" s="14">
        <v>6379</v>
      </c>
      <c r="K31" s="14">
        <v>1038363</v>
      </c>
      <c r="L31" s="15">
        <v>100</v>
      </c>
      <c r="M31" s="16">
        <v>0.6</v>
      </c>
    </row>
    <row r="32" spans="1:15" x14ac:dyDescent="0.25">
      <c r="A32" s="61" t="s">
        <v>71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</row>
    <row r="33" spans="1:15" x14ac:dyDescent="0.25">
      <c r="A33" s="69" t="s">
        <v>72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</row>
    <row r="34" spans="1:15" x14ac:dyDescent="0.25">
      <c r="A34" s="69" t="s">
        <v>73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</row>
    <row r="35" spans="1:15" x14ac:dyDescent="0.25">
      <c r="A35" s="69" t="s">
        <v>74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</row>
  </sheetData>
  <mergeCells count="108">
    <mergeCell ref="A35:O35"/>
    <mergeCell ref="A1:M1"/>
    <mergeCell ref="A2:C2"/>
    <mergeCell ref="D2:K2"/>
    <mergeCell ref="L2:M2"/>
    <mergeCell ref="A3:A4"/>
    <mergeCell ref="B3:C3"/>
    <mergeCell ref="D3:F3"/>
    <mergeCell ref="K3:M3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H12:H14"/>
    <mergeCell ref="I12:I14"/>
    <mergeCell ref="J12:J14"/>
    <mergeCell ref="K12:K14"/>
    <mergeCell ref="L12:L14"/>
    <mergeCell ref="M12:M14"/>
    <mergeCell ref="B12:B14"/>
    <mergeCell ref="C12:C14"/>
    <mergeCell ref="D12:D14"/>
    <mergeCell ref="E12:E14"/>
    <mergeCell ref="F12:F14"/>
    <mergeCell ref="G12:G14"/>
    <mergeCell ref="H17:H18"/>
    <mergeCell ref="I17:I18"/>
    <mergeCell ref="J17:J18"/>
    <mergeCell ref="K17:K18"/>
    <mergeCell ref="L17:L18"/>
    <mergeCell ref="M17:M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B21:B22"/>
    <mergeCell ref="C21:C22"/>
    <mergeCell ref="D21:D22"/>
    <mergeCell ref="E21:E22"/>
    <mergeCell ref="F21:F22"/>
    <mergeCell ref="G21:G22"/>
    <mergeCell ref="H24:H25"/>
    <mergeCell ref="I24:I25"/>
    <mergeCell ref="J24:J25"/>
    <mergeCell ref="K24:K25"/>
    <mergeCell ref="L24:L25"/>
    <mergeCell ref="M24:M25"/>
    <mergeCell ref="B24:B25"/>
    <mergeCell ref="C24:C25"/>
    <mergeCell ref="D24:D25"/>
    <mergeCell ref="E24:E25"/>
    <mergeCell ref="F24:F25"/>
    <mergeCell ref="G24:G25"/>
    <mergeCell ref="A32:O32"/>
    <mergeCell ref="A33:O33"/>
    <mergeCell ref="A34:O34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H33"/>
  <sheetViews>
    <sheetView workbookViewId="0">
      <selection sqref="A1:G1"/>
    </sheetView>
  </sheetViews>
  <sheetFormatPr baseColWidth="10" defaultRowHeight="15" x14ac:dyDescent="0.25"/>
  <cols>
    <col min="1" max="1" width="36" style="51" customWidth="1"/>
    <col min="2" max="7" width="14.28515625" style="51" customWidth="1"/>
  </cols>
  <sheetData>
    <row r="1" spans="1:8" ht="15" customHeight="1" x14ac:dyDescent="0.25">
      <c r="A1" s="63" t="s">
        <v>75</v>
      </c>
      <c r="B1" s="63"/>
      <c r="C1" s="63"/>
      <c r="D1" s="63"/>
      <c r="E1" s="63"/>
      <c r="F1" s="63"/>
      <c r="G1" s="63"/>
    </row>
    <row r="2" spans="1:8" ht="15.75" customHeight="1" thickBot="1" x14ac:dyDescent="0.3">
      <c r="A2" s="81" t="s">
        <v>387</v>
      </c>
      <c r="B2" s="81"/>
      <c r="C2" s="81"/>
      <c r="D2" s="81"/>
      <c r="E2" s="81"/>
      <c r="F2" s="74" t="s">
        <v>76</v>
      </c>
      <c r="G2" s="74"/>
    </row>
    <row r="3" spans="1:8" ht="15.75" thickTop="1" x14ac:dyDescent="0.25">
      <c r="A3" s="65" t="s">
        <v>2</v>
      </c>
      <c r="B3" s="82" t="s">
        <v>77</v>
      </c>
      <c r="C3" s="82" t="s">
        <v>78</v>
      </c>
      <c r="D3" s="82" t="s">
        <v>79</v>
      </c>
      <c r="E3" s="82" t="s">
        <v>80</v>
      </c>
      <c r="F3" s="36" t="s">
        <v>81</v>
      </c>
      <c r="G3" s="38" t="s">
        <v>81</v>
      </c>
    </row>
    <row r="4" spans="1:8" ht="15.75" thickBot="1" x14ac:dyDescent="0.3">
      <c r="A4" s="66"/>
      <c r="B4" s="83"/>
      <c r="C4" s="83"/>
      <c r="D4" s="83"/>
      <c r="E4" s="83"/>
      <c r="F4" s="37">
        <v>2022</v>
      </c>
      <c r="G4" s="6">
        <v>2021</v>
      </c>
    </row>
    <row r="5" spans="1:8" ht="15.75" thickBot="1" x14ac:dyDescent="0.3">
      <c r="A5" s="37">
        <v>1</v>
      </c>
      <c r="B5" s="37">
        <v>2</v>
      </c>
      <c r="C5" s="37">
        <v>3</v>
      </c>
      <c r="D5" s="37">
        <v>4</v>
      </c>
      <c r="E5" s="37">
        <v>5</v>
      </c>
      <c r="F5" s="37">
        <v>6</v>
      </c>
      <c r="G5" s="6">
        <v>7</v>
      </c>
    </row>
    <row r="6" spans="1:8" x14ac:dyDescent="0.25">
      <c r="A6" s="17" t="s">
        <v>82</v>
      </c>
      <c r="B6" s="40">
        <v>4183343</v>
      </c>
      <c r="C6" s="34" t="s">
        <v>46</v>
      </c>
      <c r="D6" s="40">
        <v>97534</v>
      </c>
      <c r="E6" s="34">
        <v>925</v>
      </c>
      <c r="F6" s="40">
        <f>SUM(B6:E6)</f>
        <v>4281802</v>
      </c>
      <c r="G6" s="55">
        <v>4292802</v>
      </c>
      <c r="H6" s="28"/>
    </row>
    <row r="7" spans="1:8" x14ac:dyDescent="0.25">
      <c r="A7" s="17" t="s">
        <v>83</v>
      </c>
      <c r="B7" s="40">
        <v>5444228</v>
      </c>
      <c r="C7" s="34">
        <v>338</v>
      </c>
      <c r="D7" s="40">
        <v>120800</v>
      </c>
      <c r="E7" s="40">
        <v>470222</v>
      </c>
      <c r="F7" s="52">
        <f t="shared" ref="F7:F8" si="0">SUM(B7:E7)</f>
        <v>6035588</v>
      </c>
      <c r="G7" s="55">
        <v>5983373</v>
      </c>
      <c r="H7" s="28"/>
    </row>
    <row r="8" spans="1:8" x14ac:dyDescent="0.25">
      <c r="A8" s="17" t="s">
        <v>84</v>
      </c>
      <c r="B8" s="40">
        <v>4338</v>
      </c>
      <c r="C8" s="34" t="s">
        <v>46</v>
      </c>
      <c r="D8" s="34" t="s">
        <v>46</v>
      </c>
      <c r="E8" s="34" t="s">
        <v>46</v>
      </c>
      <c r="F8" s="52">
        <f t="shared" si="0"/>
        <v>4338</v>
      </c>
      <c r="G8" s="55">
        <v>4338</v>
      </c>
      <c r="H8" s="28"/>
    </row>
    <row r="9" spans="1:8" x14ac:dyDescent="0.25">
      <c r="A9" s="17" t="s">
        <v>85</v>
      </c>
      <c r="B9" s="79">
        <v>126667</v>
      </c>
      <c r="C9" s="79">
        <v>663349</v>
      </c>
      <c r="D9" s="79">
        <v>22412</v>
      </c>
      <c r="E9" s="78" t="s">
        <v>46</v>
      </c>
      <c r="F9" s="79">
        <f>B9+C9+D9</f>
        <v>812428</v>
      </c>
      <c r="G9" s="79">
        <v>789758</v>
      </c>
      <c r="H9" s="57"/>
    </row>
    <row r="10" spans="1:8" x14ac:dyDescent="0.25">
      <c r="A10" s="17" t="s">
        <v>86</v>
      </c>
      <c r="B10" s="79"/>
      <c r="C10" s="79"/>
      <c r="D10" s="79"/>
      <c r="E10" s="78"/>
      <c r="F10" s="79"/>
      <c r="G10" s="79"/>
      <c r="H10" s="57"/>
    </row>
    <row r="11" spans="1:8" x14ac:dyDescent="0.25">
      <c r="A11" s="17" t="s">
        <v>87</v>
      </c>
      <c r="B11" s="78" t="s">
        <v>46</v>
      </c>
      <c r="C11" s="78" t="s">
        <v>46</v>
      </c>
      <c r="D11" s="78" t="s">
        <v>46</v>
      </c>
      <c r="E11" s="78" t="s">
        <v>46</v>
      </c>
      <c r="F11" s="78" t="s">
        <v>46</v>
      </c>
      <c r="G11" s="78" t="s">
        <v>46</v>
      </c>
      <c r="H11" s="57"/>
    </row>
    <row r="12" spans="1:8" x14ac:dyDescent="0.25">
      <c r="A12" s="17" t="s">
        <v>88</v>
      </c>
      <c r="B12" s="78"/>
      <c r="C12" s="78"/>
      <c r="D12" s="78"/>
      <c r="E12" s="78"/>
      <c r="F12" s="78"/>
      <c r="G12" s="78"/>
      <c r="H12" s="57"/>
    </row>
    <row r="13" spans="1:8" x14ac:dyDescent="0.25">
      <c r="A13" s="17" t="s">
        <v>89</v>
      </c>
      <c r="B13" s="34" t="s">
        <v>46</v>
      </c>
      <c r="C13" s="40">
        <v>75000</v>
      </c>
      <c r="D13" s="40">
        <v>6697</v>
      </c>
      <c r="E13" s="34" t="s">
        <v>46</v>
      </c>
      <c r="F13" s="52">
        <f>SUM(B13:E13)</f>
        <v>81697</v>
      </c>
      <c r="G13" s="55">
        <v>122607</v>
      </c>
      <c r="H13" s="28"/>
    </row>
    <row r="14" spans="1:8" x14ac:dyDescent="0.25">
      <c r="A14" s="17" t="s">
        <v>90</v>
      </c>
      <c r="B14" s="34" t="s">
        <v>46</v>
      </c>
      <c r="C14" s="34" t="s">
        <v>46</v>
      </c>
      <c r="D14" s="34" t="s">
        <v>46</v>
      </c>
      <c r="E14" s="34" t="s">
        <v>46</v>
      </c>
      <c r="F14" s="34" t="s">
        <v>46</v>
      </c>
      <c r="G14" s="53" t="s">
        <v>46</v>
      </c>
      <c r="H14" s="28"/>
    </row>
    <row r="15" spans="1:8" x14ac:dyDescent="0.25">
      <c r="A15" s="17" t="s">
        <v>91</v>
      </c>
      <c r="B15" s="40">
        <v>5681550</v>
      </c>
      <c r="C15" s="40">
        <v>3155888</v>
      </c>
      <c r="D15" s="40">
        <v>197219</v>
      </c>
      <c r="E15" s="34" t="s">
        <v>46</v>
      </c>
      <c r="F15" s="52">
        <f>SUM(B15:E15)</f>
        <v>9034657</v>
      </c>
      <c r="G15" s="55">
        <v>9607314</v>
      </c>
      <c r="H15" s="28"/>
    </row>
    <row r="16" spans="1:8" x14ac:dyDescent="0.25">
      <c r="A16" s="17" t="s">
        <v>92</v>
      </c>
      <c r="B16" s="40">
        <v>215125</v>
      </c>
      <c r="C16" s="34" t="s">
        <v>46</v>
      </c>
      <c r="D16" s="34" t="s">
        <v>46</v>
      </c>
      <c r="E16" s="34" t="s">
        <v>46</v>
      </c>
      <c r="F16" s="40">
        <v>215125</v>
      </c>
      <c r="G16" s="55">
        <v>190490</v>
      </c>
      <c r="H16" s="28"/>
    </row>
    <row r="17" spans="1:8" x14ac:dyDescent="0.25">
      <c r="A17" s="17" t="s">
        <v>93</v>
      </c>
      <c r="B17" s="34" t="s">
        <v>46</v>
      </c>
      <c r="C17" s="34" t="s">
        <v>46</v>
      </c>
      <c r="D17" s="34" t="s">
        <v>46</v>
      </c>
      <c r="E17" s="34" t="s">
        <v>46</v>
      </c>
      <c r="F17" s="34" t="s">
        <v>46</v>
      </c>
      <c r="G17" s="53" t="s">
        <v>46</v>
      </c>
      <c r="H17" s="28"/>
    </row>
    <row r="18" spans="1:8" x14ac:dyDescent="0.25">
      <c r="A18" s="17" t="s">
        <v>94</v>
      </c>
      <c r="B18" s="40">
        <v>450094</v>
      </c>
      <c r="C18" s="34" t="s">
        <v>46</v>
      </c>
      <c r="D18" s="40">
        <v>11368</v>
      </c>
      <c r="E18" s="40">
        <v>22000</v>
      </c>
      <c r="F18" s="52">
        <f>SUM(B18:E18)</f>
        <v>483462</v>
      </c>
      <c r="G18" s="55">
        <v>56630</v>
      </c>
      <c r="H18" s="28"/>
    </row>
    <row r="19" spans="1:8" x14ac:dyDescent="0.25">
      <c r="A19" s="17" t="s">
        <v>95</v>
      </c>
      <c r="B19" s="34" t="s">
        <v>46</v>
      </c>
      <c r="C19" s="34" t="s">
        <v>46</v>
      </c>
      <c r="D19" s="34" t="s">
        <v>46</v>
      </c>
      <c r="E19" s="34" t="s">
        <v>46</v>
      </c>
      <c r="F19" s="34" t="s">
        <v>46</v>
      </c>
      <c r="G19" s="53" t="s">
        <v>46</v>
      </c>
      <c r="H19" s="28"/>
    </row>
    <row r="20" spans="1:8" x14ac:dyDescent="0.25">
      <c r="A20" s="17" t="s">
        <v>96</v>
      </c>
      <c r="B20" s="40">
        <v>517398</v>
      </c>
      <c r="C20" s="34" t="s">
        <v>46</v>
      </c>
      <c r="D20" s="40">
        <v>2000</v>
      </c>
      <c r="E20" s="34" t="s">
        <v>46</v>
      </c>
      <c r="F20" s="52">
        <f>SUM(B20:E20)</f>
        <v>519398</v>
      </c>
      <c r="G20" s="55">
        <v>246681</v>
      </c>
      <c r="H20" s="28"/>
    </row>
    <row r="21" spans="1:8" ht="15.75" thickBot="1" x14ac:dyDescent="0.3">
      <c r="A21" s="23" t="s">
        <v>97</v>
      </c>
      <c r="B21" s="20">
        <v>7140</v>
      </c>
      <c r="C21" s="31" t="s">
        <v>46</v>
      </c>
      <c r="D21" s="31" t="s">
        <v>46</v>
      </c>
      <c r="E21" s="31" t="s">
        <v>46</v>
      </c>
      <c r="F21" s="20">
        <f>SUM(B21:E21)</f>
        <v>7140</v>
      </c>
      <c r="G21" s="31" t="s">
        <v>46</v>
      </c>
      <c r="H21" s="28"/>
    </row>
    <row r="22" spans="1:8" x14ac:dyDescent="0.25">
      <c r="A22" s="17" t="s">
        <v>98</v>
      </c>
      <c r="B22" s="40">
        <v>16611265</v>
      </c>
      <c r="C22" s="40">
        <v>3894575</v>
      </c>
      <c r="D22" s="40">
        <v>458031</v>
      </c>
      <c r="E22" s="40">
        <v>534060</v>
      </c>
      <c r="F22" s="52">
        <f>SUM(B22:E22)</f>
        <v>21497931</v>
      </c>
      <c r="G22" s="55">
        <v>21416204</v>
      </c>
      <c r="H22" s="28"/>
    </row>
    <row r="23" spans="1:8" ht="15.75" thickBot="1" x14ac:dyDescent="0.3">
      <c r="A23" s="23" t="s">
        <v>99</v>
      </c>
      <c r="B23" s="20">
        <v>1615274</v>
      </c>
      <c r="C23" s="31" t="s">
        <v>46</v>
      </c>
      <c r="D23" s="20">
        <v>45000</v>
      </c>
      <c r="E23" s="31" t="s">
        <v>46</v>
      </c>
      <c r="F23" s="31">
        <f>SUM(B23:E23)</f>
        <v>1660274</v>
      </c>
      <c r="G23" s="20">
        <v>1666146</v>
      </c>
      <c r="H23" s="28"/>
    </row>
    <row r="24" spans="1:8" ht="15.75" thickBot="1" x14ac:dyDescent="0.3">
      <c r="A24" s="23" t="s">
        <v>100</v>
      </c>
      <c r="B24" s="20">
        <v>14995991</v>
      </c>
      <c r="C24" s="20">
        <v>3894575</v>
      </c>
      <c r="D24" s="20">
        <v>413031</v>
      </c>
      <c r="E24" s="20">
        <v>534060</v>
      </c>
      <c r="F24" s="20">
        <f>SUM(B24:E24)</f>
        <v>19837657</v>
      </c>
      <c r="G24" s="55">
        <v>19750057</v>
      </c>
      <c r="H24" s="28"/>
    </row>
    <row r="25" spans="1:8" x14ac:dyDescent="0.25">
      <c r="A25" s="17" t="s">
        <v>101</v>
      </c>
      <c r="B25" s="34">
        <v>20.100000000000001</v>
      </c>
      <c r="C25" s="34">
        <v>28.8</v>
      </c>
      <c r="D25" s="34">
        <v>45.3</v>
      </c>
      <c r="E25" s="34">
        <v>37.299999999999997</v>
      </c>
      <c r="F25" s="34">
        <v>22.1</v>
      </c>
      <c r="G25" s="53">
        <v>20</v>
      </c>
      <c r="H25" s="28"/>
    </row>
    <row r="26" spans="1:8" ht="15.75" thickBot="1" x14ac:dyDescent="0.3">
      <c r="A26" s="25" t="s">
        <v>102</v>
      </c>
      <c r="B26" s="26">
        <v>1.7</v>
      </c>
      <c r="C26" s="26">
        <v>2.5</v>
      </c>
      <c r="D26" s="26">
        <v>3.2</v>
      </c>
      <c r="E26" s="26">
        <v>2.9</v>
      </c>
      <c r="F26" s="26">
        <v>1.8</v>
      </c>
      <c r="G26" s="26">
        <v>1.7</v>
      </c>
      <c r="H26" s="28"/>
    </row>
    <row r="27" spans="1:8" ht="15.75" thickTop="1" x14ac:dyDescent="0.25">
      <c r="A27" s="17" t="s">
        <v>103</v>
      </c>
      <c r="B27" s="40">
        <v>263000</v>
      </c>
      <c r="C27" s="40">
        <v>2200</v>
      </c>
      <c r="D27" s="34" t="s">
        <v>46</v>
      </c>
      <c r="E27" s="34" t="s">
        <v>46</v>
      </c>
      <c r="F27" s="52">
        <f>SUM(B27:E27)</f>
        <v>265200</v>
      </c>
      <c r="G27" s="55">
        <v>265200</v>
      </c>
      <c r="H27" s="28"/>
    </row>
    <row r="28" spans="1:8" ht="15.75" thickBot="1" x14ac:dyDescent="0.3">
      <c r="A28" s="23" t="s">
        <v>104</v>
      </c>
      <c r="B28" s="20">
        <v>1684000</v>
      </c>
      <c r="C28" s="20">
        <v>741627</v>
      </c>
      <c r="D28" s="20">
        <v>25834</v>
      </c>
      <c r="E28" s="20">
        <v>100000</v>
      </c>
      <c r="F28" s="52">
        <f>SUM(B28:E28)</f>
        <v>2551461</v>
      </c>
      <c r="G28" s="20">
        <v>2952461</v>
      </c>
      <c r="H28" s="28"/>
    </row>
    <row r="29" spans="1:8" ht="15" customHeight="1" x14ac:dyDescent="0.25">
      <c r="A29" s="80" t="s">
        <v>105</v>
      </c>
      <c r="B29" s="80"/>
      <c r="C29" s="80"/>
      <c r="D29" s="80"/>
      <c r="E29" s="80"/>
      <c r="F29" s="80"/>
      <c r="G29" s="80"/>
    </row>
    <row r="30" spans="1:8" ht="22.5" customHeight="1" x14ac:dyDescent="0.25">
      <c r="A30" s="57" t="s">
        <v>106</v>
      </c>
      <c r="B30" s="57"/>
      <c r="C30" s="57"/>
      <c r="D30" s="57"/>
      <c r="E30" s="57"/>
      <c r="F30" s="57"/>
      <c r="G30" s="57"/>
    </row>
    <row r="31" spans="1:8" ht="15" customHeight="1" x14ac:dyDescent="0.25">
      <c r="A31" s="69" t="s">
        <v>383</v>
      </c>
      <c r="B31" s="69"/>
      <c r="C31" s="69"/>
      <c r="D31" s="69"/>
      <c r="E31" s="69"/>
      <c r="F31" s="69"/>
      <c r="G31" s="69"/>
    </row>
    <row r="32" spans="1:8" ht="15" customHeight="1" x14ac:dyDescent="0.25">
      <c r="A32" s="69" t="s">
        <v>107</v>
      </c>
      <c r="B32" s="69"/>
      <c r="C32" s="69"/>
      <c r="D32" s="69"/>
      <c r="E32" s="69"/>
      <c r="F32" s="69"/>
      <c r="G32" s="69"/>
    </row>
    <row r="33" spans="1:7" x14ac:dyDescent="0.25">
      <c r="A33" s="57"/>
      <c r="B33" s="57"/>
      <c r="C33" s="57"/>
      <c r="D33" s="57"/>
      <c r="E33" s="57"/>
      <c r="F33" s="57"/>
      <c r="G33" s="57"/>
    </row>
  </sheetData>
  <mergeCells count="27">
    <mergeCell ref="A29:G29"/>
    <mergeCell ref="A30:G30"/>
    <mergeCell ref="A31:G31"/>
    <mergeCell ref="A1:G1"/>
    <mergeCell ref="A2:E2"/>
    <mergeCell ref="F2:G2"/>
    <mergeCell ref="A3:A4"/>
    <mergeCell ref="B3:B4"/>
    <mergeCell ref="C3:C4"/>
    <mergeCell ref="D3:D4"/>
    <mergeCell ref="E3:E4"/>
    <mergeCell ref="A33:G33"/>
    <mergeCell ref="H9:H10"/>
    <mergeCell ref="B11:B12"/>
    <mergeCell ref="C11:C12"/>
    <mergeCell ref="D11:D12"/>
    <mergeCell ref="E11:E12"/>
    <mergeCell ref="F11:F12"/>
    <mergeCell ref="G11:G12"/>
    <mergeCell ref="H11:H12"/>
    <mergeCell ref="B9:B10"/>
    <mergeCell ref="C9:C10"/>
    <mergeCell ref="D9:D10"/>
    <mergeCell ref="E9:E10"/>
    <mergeCell ref="F9:F10"/>
    <mergeCell ref="G9:G10"/>
    <mergeCell ref="A32:G32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H28"/>
  <sheetViews>
    <sheetView workbookViewId="0">
      <selection sqref="A1:G1"/>
    </sheetView>
  </sheetViews>
  <sheetFormatPr baseColWidth="10" defaultRowHeight="15" x14ac:dyDescent="0.25"/>
  <cols>
    <col min="1" max="1" width="45.7109375" style="51" bestFit="1" customWidth="1"/>
    <col min="2" max="2" width="15" style="51" customWidth="1"/>
    <col min="3" max="3" width="13.5703125" style="51" customWidth="1"/>
    <col min="4" max="4" width="15" style="51" customWidth="1"/>
    <col min="5" max="5" width="13.5703125" style="51" customWidth="1"/>
    <col min="6" max="6" width="15.7109375" style="51" customWidth="1"/>
    <col min="7" max="7" width="12.85546875" style="51" customWidth="1"/>
  </cols>
  <sheetData>
    <row r="1" spans="1:8" ht="15" customHeight="1" x14ac:dyDescent="0.25">
      <c r="A1" s="63" t="s">
        <v>108</v>
      </c>
      <c r="B1" s="63"/>
      <c r="C1" s="63"/>
      <c r="D1" s="63"/>
      <c r="E1" s="63"/>
      <c r="F1" s="63"/>
      <c r="G1" s="63"/>
    </row>
    <row r="2" spans="1:8" ht="15.75" customHeight="1" thickBot="1" x14ac:dyDescent="0.3">
      <c r="A2" s="22"/>
      <c r="B2" s="64" t="s">
        <v>388</v>
      </c>
      <c r="C2" s="64"/>
      <c r="D2" s="64"/>
      <c r="E2" s="74" t="s">
        <v>109</v>
      </c>
      <c r="F2" s="74"/>
      <c r="G2" s="74"/>
    </row>
    <row r="3" spans="1:8" ht="15.75" thickTop="1" x14ac:dyDescent="0.25">
      <c r="A3" s="65" t="s">
        <v>2</v>
      </c>
      <c r="B3" s="67">
        <v>2022</v>
      </c>
      <c r="C3" s="65"/>
      <c r="D3" s="67">
        <v>2021</v>
      </c>
      <c r="E3" s="65"/>
      <c r="F3" s="67">
        <v>2020</v>
      </c>
      <c r="G3" s="68"/>
    </row>
    <row r="4" spans="1:8" x14ac:dyDescent="0.25">
      <c r="A4" s="86"/>
      <c r="B4" s="42" t="s">
        <v>110</v>
      </c>
      <c r="C4" s="41" t="s">
        <v>111</v>
      </c>
      <c r="D4" s="42" t="s">
        <v>110</v>
      </c>
      <c r="E4" s="41" t="s">
        <v>111</v>
      </c>
      <c r="F4" s="42" t="s">
        <v>110</v>
      </c>
      <c r="G4" s="42" t="s">
        <v>111</v>
      </c>
    </row>
    <row r="5" spans="1:8" ht="15.75" thickBot="1" x14ac:dyDescent="0.3">
      <c r="A5" s="66"/>
      <c r="B5" s="6" t="s">
        <v>3</v>
      </c>
      <c r="C5" s="37" t="s">
        <v>3</v>
      </c>
      <c r="D5" s="6" t="s">
        <v>3</v>
      </c>
      <c r="E5" s="37" t="s">
        <v>3</v>
      </c>
      <c r="F5" s="6" t="s">
        <v>3</v>
      </c>
      <c r="G5" s="6" t="s">
        <v>3</v>
      </c>
    </row>
    <row r="6" spans="1:8" ht="15.75" thickBot="1" x14ac:dyDescent="0.3">
      <c r="A6" s="37">
        <v>1</v>
      </c>
      <c r="B6" s="6">
        <v>2</v>
      </c>
      <c r="C6" s="37">
        <v>3</v>
      </c>
      <c r="D6" s="6">
        <v>4</v>
      </c>
      <c r="E6" s="37">
        <v>5</v>
      </c>
      <c r="F6" s="6">
        <v>6</v>
      </c>
      <c r="G6" s="6">
        <v>7</v>
      </c>
    </row>
    <row r="7" spans="1:8" x14ac:dyDescent="0.25">
      <c r="A7" s="17" t="s">
        <v>112</v>
      </c>
      <c r="B7" s="33"/>
      <c r="C7" s="13"/>
      <c r="D7" s="33"/>
      <c r="E7" s="13"/>
      <c r="F7" s="33"/>
      <c r="G7" s="33"/>
      <c r="H7" s="28"/>
    </row>
    <row r="8" spans="1:8" x14ac:dyDescent="0.25">
      <c r="A8" s="17" t="s">
        <v>113</v>
      </c>
      <c r="B8" s="39">
        <v>2831431</v>
      </c>
      <c r="C8" s="40">
        <v>2681061</v>
      </c>
      <c r="D8" s="39">
        <v>3100990</v>
      </c>
      <c r="E8" s="40">
        <v>2937282</v>
      </c>
      <c r="F8" s="39">
        <v>3351532</v>
      </c>
      <c r="G8" s="39">
        <v>3170313</v>
      </c>
      <c r="H8" s="28"/>
    </row>
    <row r="9" spans="1:8" x14ac:dyDescent="0.25">
      <c r="A9" s="17" t="s">
        <v>114</v>
      </c>
      <c r="B9" s="39">
        <v>951620645</v>
      </c>
      <c r="C9" s="40">
        <v>939057737</v>
      </c>
      <c r="D9" s="39">
        <v>947053884</v>
      </c>
      <c r="E9" s="40">
        <v>932919872</v>
      </c>
      <c r="F9" s="39">
        <v>920070185</v>
      </c>
      <c r="G9" s="39">
        <v>907262395</v>
      </c>
      <c r="H9" s="28"/>
    </row>
    <row r="10" spans="1:8" x14ac:dyDescent="0.25">
      <c r="A10" s="17" t="s">
        <v>115</v>
      </c>
      <c r="B10" s="58">
        <v>8864940</v>
      </c>
      <c r="C10" s="84">
        <v>8431363</v>
      </c>
      <c r="D10" s="58">
        <v>8133622</v>
      </c>
      <c r="E10" s="84">
        <v>7753865</v>
      </c>
      <c r="F10" s="58">
        <v>7502677</v>
      </c>
      <c r="G10" s="85">
        <v>7143609</v>
      </c>
      <c r="H10" s="57"/>
    </row>
    <row r="11" spans="1:8" x14ac:dyDescent="0.25">
      <c r="A11" s="17" t="s">
        <v>116</v>
      </c>
      <c r="B11" s="58"/>
      <c r="C11" s="84"/>
      <c r="D11" s="58"/>
      <c r="E11" s="84"/>
      <c r="F11" s="58"/>
      <c r="G11" s="85"/>
      <c r="H11" s="57"/>
    </row>
    <row r="12" spans="1:8" x14ac:dyDescent="0.25">
      <c r="A12" s="17" t="s">
        <v>117</v>
      </c>
      <c r="B12" s="39">
        <v>333282</v>
      </c>
      <c r="C12" s="40">
        <v>333282</v>
      </c>
      <c r="D12" s="39">
        <v>324210</v>
      </c>
      <c r="E12" s="40">
        <v>324208</v>
      </c>
      <c r="F12" s="39">
        <v>296138</v>
      </c>
      <c r="G12" s="39">
        <v>296136</v>
      </c>
      <c r="H12" s="28"/>
    </row>
    <row r="13" spans="1:8" x14ac:dyDescent="0.25">
      <c r="A13" s="17" t="s">
        <v>118</v>
      </c>
      <c r="B13" s="39">
        <v>50851297</v>
      </c>
      <c r="C13" s="40">
        <v>50851297</v>
      </c>
      <c r="D13" s="39">
        <v>50014009</v>
      </c>
      <c r="E13" s="40">
        <v>50014009</v>
      </c>
      <c r="F13" s="39">
        <v>49323166</v>
      </c>
      <c r="G13" s="39">
        <v>49323166</v>
      </c>
      <c r="H13" s="28"/>
    </row>
    <row r="14" spans="1:8" x14ac:dyDescent="0.25">
      <c r="A14" s="17" t="s">
        <v>119</v>
      </c>
      <c r="B14" s="39">
        <v>64250</v>
      </c>
      <c r="C14" s="40">
        <v>64250</v>
      </c>
      <c r="D14" s="39">
        <v>36064</v>
      </c>
      <c r="E14" s="40">
        <v>36063</v>
      </c>
      <c r="F14" s="39">
        <v>29346</v>
      </c>
      <c r="G14" s="39">
        <v>29338</v>
      </c>
      <c r="H14" s="28"/>
    </row>
    <row r="15" spans="1:8" x14ac:dyDescent="0.25">
      <c r="A15" s="17" t="s">
        <v>120</v>
      </c>
      <c r="B15" s="58">
        <v>152348631</v>
      </c>
      <c r="C15" s="84">
        <v>148678003</v>
      </c>
      <c r="D15" s="58">
        <v>171186728</v>
      </c>
      <c r="E15" s="84">
        <v>167380875</v>
      </c>
      <c r="F15" s="58">
        <v>129496471</v>
      </c>
      <c r="G15" s="85">
        <v>126133248</v>
      </c>
      <c r="H15" s="57"/>
    </row>
    <row r="16" spans="1:8" x14ac:dyDescent="0.25">
      <c r="A16" s="17" t="s">
        <v>121</v>
      </c>
      <c r="B16" s="58"/>
      <c r="C16" s="84"/>
      <c r="D16" s="58"/>
      <c r="E16" s="84"/>
      <c r="F16" s="58"/>
      <c r="G16" s="85"/>
      <c r="H16" s="57"/>
    </row>
    <row r="17" spans="1:8" x14ac:dyDescent="0.25">
      <c r="A17" s="17" t="s">
        <v>122</v>
      </c>
      <c r="B17" s="58"/>
      <c r="C17" s="84"/>
      <c r="D17" s="58"/>
      <c r="E17" s="84"/>
      <c r="F17" s="58"/>
      <c r="G17" s="85"/>
      <c r="H17" s="57"/>
    </row>
    <row r="18" spans="1:8" ht="15.75" thickBot="1" x14ac:dyDescent="0.3">
      <c r="A18" s="23" t="s">
        <v>123</v>
      </c>
      <c r="B18" s="32">
        <v>1840095</v>
      </c>
      <c r="C18" s="20">
        <v>1838225</v>
      </c>
      <c r="D18" s="32">
        <v>2368760</v>
      </c>
      <c r="E18" s="20">
        <v>2367529</v>
      </c>
      <c r="F18" s="32">
        <v>2052639</v>
      </c>
      <c r="G18" s="32">
        <v>2052139</v>
      </c>
      <c r="H18" s="28"/>
    </row>
    <row r="19" spans="1:8" ht="15.75" thickBot="1" x14ac:dyDescent="0.3">
      <c r="A19" s="19" t="s">
        <v>124</v>
      </c>
      <c r="B19" s="32">
        <v>1168754572</v>
      </c>
      <c r="C19" s="20">
        <v>1151935219</v>
      </c>
      <c r="D19" s="32">
        <v>1182218266</v>
      </c>
      <c r="E19" s="20">
        <v>1163733702</v>
      </c>
      <c r="F19" s="32">
        <v>1112122156</v>
      </c>
      <c r="G19" s="32">
        <v>1095410344</v>
      </c>
      <c r="H19" s="28"/>
    </row>
    <row r="20" spans="1:8" x14ac:dyDescent="0.25">
      <c r="A20" s="17" t="s">
        <v>125</v>
      </c>
      <c r="B20" s="33"/>
      <c r="C20" s="13"/>
      <c r="D20" s="33"/>
      <c r="E20" s="13"/>
      <c r="F20" s="33"/>
      <c r="G20" s="33"/>
      <c r="H20" s="28"/>
    </row>
    <row r="21" spans="1:8" x14ac:dyDescent="0.25">
      <c r="A21" s="17" t="s">
        <v>113</v>
      </c>
      <c r="B21" s="39">
        <v>32062</v>
      </c>
      <c r="C21" s="40">
        <v>31659</v>
      </c>
      <c r="D21" s="39">
        <v>33820</v>
      </c>
      <c r="E21" s="40">
        <v>33392</v>
      </c>
      <c r="F21" s="39">
        <v>34976</v>
      </c>
      <c r="G21" s="39">
        <v>34536</v>
      </c>
      <c r="H21" s="28"/>
    </row>
    <row r="22" spans="1:8" x14ac:dyDescent="0.25">
      <c r="A22" s="17" t="s">
        <v>114</v>
      </c>
      <c r="B22" s="39">
        <v>4354615</v>
      </c>
      <c r="C22" s="40">
        <v>4353082</v>
      </c>
      <c r="D22" s="39">
        <v>4325040</v>
      </c>
      <c r="E22" s="40">
        <v>4323589</v>
      </c>
      <c r="F22" s="39">
        <v>4312665</v>
      </c>
      <c r="G22" s="39">
        <v>4311371</v>
      </c>
      <c r="H22" s="57"/>
    </row>
    <row r="23" spans="1:8" x14ac:dyDescent="0.25">
      <c r="A23" s="17" t="s">
        <v>115</v>
      </c>
      <c r="B23" s="58">
        <v>21334</v>
      </c>
      <c r="C23" s="84">
        <v>21002</v>
      </c>
      <c r="D23" s="58">
        <v>19980</v>
      </c>
      <c r="E23" s="84">
        <v>19678</v>
      </c>
      <c r="F23" s="58">
        <v>17854</v>
      </c>
      <c r="G23" s="85">
        <v>17408</v>
      </c>
      <c r="H23" s="57"/>
    </row>
    <row r="24" spans="1:8" x14ac:dyDescent="0.25">
      <c r="A24" s="17" t="s">
        <v>116</v>
      </c>
      <c r="B24" s="58"/>
      <c r="C24" s="84"/>
      <c r="D24" s="58"/>
      <c r="E24" s="84"/>
      <c r="F24" s="58"/>
      <c r="G24" s="85"/>
      <c r="H24" s="28"/>
    </row>
    <row r="25" spans="1:8" x14ac:dyDescent="0.25">
      <c r="A25" s="17" t="s">
        <v>117</v>
      </c>
      <c r="B25" s="35">
        <v>86</v>
      </c>
      <c r="C25" s="34">
        <v>86</v>
      </c>
      <c r="D25" s="35">
        <v>89</v>
      </c>
      <c r="E25" s="34">
        <v>89</v>
      </c>
      <c r="F25" s="35">
        <v>85</v>
      </c>
      <c r="G25" s="35">
        <v>85</v>
      </c>
      <c r="H25" s="28"/>
    </row>
    <row r="26" spans="1:8" x14ac:dyDescent="0.25">
      <c r="A26" s="17" t="s">
        <v>118</v>
      </c>
      <c r="B26" s="35" t="s">
        <v>46</v>
      </c>
      <c r="C26" s="34" t="s">
        <v>46</v>
      </c>
      <c r="D26" s="35" t="s">
        <v>46</v>
      </c>
      <c r="E26" s="34" t="s">
        <v>46</v>
      </c>
      <c r="F26" s="35" t="s">
        <v>46</v>
      </c>
      <c r="G26" s="35" t="s">
        <v>46</v>
      </c>
      <c r="H26" s="28"/>
    </row>
    <row r="27" spans="1:8" ht="15.75" thickBot="1" x14ac:dyDescent="0.3">
      <c r="A27" s="23" t="s">
        <v>119</v>
      </c>
      <c r="B27" s="24">
        <v>520</v>
      </c>
      <c r="C27" s="31">
        <v>520</v>
      </c>
      <c r="D27" s="24">
        <v>620</v>
      </c>
      <c r="E27" s="31">
        <v>620</v>
      </c>
      <c r="F27" s="24">
        <v>840</v>
      </c>
      <c r="G27" s="24">
        <v>840</v>
      </c>
      <c r="H27" s="28"/>
    </row>
    <row r="28" spans="1:8" ht="15.75" thickBot="1" x14ac:dyDescent="0.3">
      <c r="A28" s="19" t="s">
        <v>124</v>
      </c>
      <c r="B28" s="32">
        <v>4408617</v>
      </c>
      <c r="C28" s="20">
        <v>4406349</v>
      </c>
      <c r="D28" s="32">
        <v>4379549</v>
      </c>
      <c r="E28" s="20">
        <v>4377368</v>
      </c>
      <c r="F28" s="32">
        <v>4366420</v>
      </c>
      <c r="G28" s="32">
        <v>4364239</v>
      </c>
    </row>
  </sheetData>
  <mergeCells count="28">
    <mergeCell ref="A1:G1"/>
    <mergeCell ref="B2:D2"/>
    <mergeCell ref="E2:G2"/>
    <mergeCell ref="A3:A5"/>
    <mergeCell ref="B3:C3"/>
    <mergeCell ref="D3:E3"/>
    <mergeCell ref="F3:G3"/>
    <mergeCell ref="H22:H23"/>
    <mergeCell ref="G10:G11"/>
    <mergeCell ref="B10:B11"/>
    <mergeCell ref="C10:C11"/>
    <mergeCell ref="D10:D11"/>
    <mergeCell ref="E10:E11"/>
    <mergeCell ref="F10:F11"/>
    <mergeCell ref="H10:H11"/>
    <mergeCell ref="B15:B17"/>
    <mergeCell ref="C15:C17"/>
    <mergeCell ref="D15:D17"/>
    <mergeCell ref="E15:E17"/>
    <mergeCell ref="F15:F17"/>
    <mergeCell ref="G15:G17"/>
    <mergeCell ref="H15:H17"/>
    <mergeCell ref="G23:G24"/>
    <mergeCell ref="B23:B24"/>
    <mergeCell ref="C23:C24"/>
    <mergeCell ref="D23:D24"/>
    <mergeCell ref="E23:E24"/>
    <mergeCell ref="F23:F24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H30"/>
  <sheetViews>
    <sheetView workbookViewId="0">
      <selection sqref="A1:G1"/>
    </sheetView>
  </sheetViews>
  <sheetFormatPr baseColWidth="10" defaultRowHeight="15" x14ac:dyDescent="0.25"/>
  <cols>
    <col min="1" max="1" width="48.7109375" style="51" bestFit="1" customWidth="1"/>
    <col min="2" max="2" width="15" style="51" customWidth="1"/>
    <col min="3" max="3" width="13.5703125" style="51" customWidth="1"/>
    <col min="4" max="4" width="15" style="51" customWidth="1"/>
    <col min="5" max="5" width="13.5703125" style="51" customWidth="1"/>
    <col min="6" max="6" width="15.7109375" style="51" customWidth="1"/>
    <col min="7" max="7" width="12.85546875" style="51" customWidth="1"/>
  </cols>
  <sheetData>
    <row r="1" spans="1:8" ht="15" customHeight="1" x14ac:dyDescent="0.25">
      <c r="A1" s="63" t="s">
        <v>126</v>
      </c>
      <c r="B1" s="63"/>
      <c r="C1" s="63"/>
      <c r="D1" s="63"/>
      <c r="E1" s="63"/>
      <c r="F1" s="63"/>
      <c r="G1" s="63"/>
    </row>
    <row r="2" spans="1:8" ht="15.75" customHeight="1" thickBot="1" x14ac:dyDescent="0.3">
      <c r="A2" s="22"/>
      <c r="B2" s="64" t="s">
        <v>385</v>
      </c>
      <c r="C2" s="64"/>
      <c r="D2" s="64"/>
      <c r="E2" s="64"/>
      <c r="F2" s="74" t="s">
        <v>127</v>
      </c>
      <c r="G2" s="74"/>
    </row>
    <row r="3" spans="1:8" ht="15.75" thickTop="1" x14ac:dyDescent="0.25">
      <c r="A3" s="65" t="s">
        <v>128</v>
      </c>
      <c r="B3" s="67">
        <v>2022</v>
      </c>
      <c r="C3" s="65"/>
      <c r="D3" s="67">
        <v>2021</v>
      </c>
      <c r="E3" s="65"/>
      <c r="F3" s="67">
        <v>2020</v>
      </c>
      <c r="G3" s="68"/>
    </row>
    <row r="4" spans="1:8" ht="15.75" thickBot="1" x14ac:dyDescent="0.3">
      <c r="A4" s="66"/>
      <c r="B4" s="6" t="s">
        <v>3</v>
      </c>
      <c r="C4" s="37" t="s">
        <v>4</v>
      </c>
      <c r="D4" s="6" t="s">
        <v>3</v>
      </c>
      <c r="E4" s="37" t="s">
        <v>4</v>
      </c>
      <c r="F4" s="6" t="s">
        <v>3</v>
      </c>
      <c r="G4" s="6" t="s">
        <v>4</v>
      </c>
    </row>
    <row r="5" spans="1:8" ht="15.75" thickBot="1" x14ac:dyDescent="0.3">
      <c r="A5" s="37">
        <v>1</v>
      </c>
      <c r="B5" s="6">
        <v>2</v>
      </c>
      <c r="C5" s="37">
        <v>3</v>
      </c>
      <c r="D5" s="6">
        <v>4</v>
      </c>
      <c r="E5" s="37">
        <v>5</v>
      </c>
      <c r="F5" s="6">
        <v>6</v>
      </c>
      <c r="G5" s="6">
        <v>7</v>
      </c>
    </row>
    <row r="6" spans="1:8" x14ac:dyDescent="0.25">
      <c r="A6" s="17" t="s">
        <v>129</v>
      </c>
      <c r="B6" s="39">
        <v>91161179</v>
      </c>
      <c r="C6" s="34"/>
      <c r="D6" s="54">
        <v>98085582</v>
      </c>
      <c r="E6" s="53"/>
      <c r="F6" s="54">
        <v>98500434</v>
      </c>
      <c r="G6" s="53"/>
      <c r="H6" s="28"/>
    </row>
    <row r="7" spans="1:8" x14ac:dyDescent="0.25">
      <c r="A7" s="17" t="s">
        <v>130</v>
      </c>
      <c r="B7" s="39">
        <v>91432497</v>
      </c>
      <c r="C7" s="34">
        <v>100</v>
      </c>
      <c r="D7" s="54">
        <v>98341588</v>
      </c>
      <c r="E7" s="53">
        <v>100</v>
      </c>
      <c r="F7" s="54">
        <v>98654330</v>
      </c>
      <c r="G7" s="53">
        <v>100</v>
      </c>
      <c r="H7" s="28"/>
    </row>
    <row r="8" spans="1:8" x14ac:dyDescent="0.25">
      <c r="A8" s="17" t="s">
        <v>131</v>
      </c>
      <c r="B8" s="39">
        <v>89753226</v>
      </c>
      <c r="C8" s="34">
        <v>98.2</v>
      </c>
      <c r="D8" s="54">
        <v>93936632</v>
      </c>
      <c r="E8" s="53">
        <v>95.5</v>
      </c>
      <c r="F8" s="54">
        <v>95799923</v>
      </c>
      <c r="G8" s="53">
        <v>97.1</v>
      </c>
      <c r="H8" s="28"/>
    </row>
    <row r="9" spans="1:8" x14ac:dyDescent="0.25">
      <c r="A9" s="17" t="s">
        <v>132</v>
      </c>
      <c r="B9" s="39">
        <v>2351670</v>
      </c>
      <c r="C9" s="34">
        <v>2.6</v>
      </c>
      <c r="D9" s="54">
        <v>2571864</v>
      </c>
      <c r="E9" s="53">
        <v>2.6</v>
      </c>
      <c r="F9" s="54">
        <v>2340532</v>
      </c>
      <c r="G9" s="53">
        <v>2.4</v>
      </c>
      <c r="H9" s="28"/>
    </row>
    <row r="10" spans="1:8" x14ac:dyDescent="0.25">
      <c r="A10" s="17" t="s">
        <v>133</v>
      </c>
      <c r="B10" s="39">
        <v>40021423</v>
      </c>
      <c r="C10" s="34">
        <v>43.8</v>
      </c>
      <c r="D10" s="54">
        <v>64859858</v>
      </c>
      <c r="E10" s="53">
        <v>66</v>
      </c>
      <c r="F10" s="54">
        <v>49177007</v>
      </c>
      <c r="G10" s="53">
        <v>49.8</v>
      </c>
      <c r="H10" s="28"/>
    </row>
    <row r="11" spans="1:8" x14ac:dyDescent="0.25">
      <c r="A11" s="17" t="s">
        <v>134</v>
      </c>
      <c r="B11" s="39">
        <v>27883054</v>
      </c>
      <c r="C11" s="34">
        <v>30.5</v>
      </c>
      <c r="D11" s="54">
        <v>28442823</v>
      </c>
      <c r="E11" s="53">
        <v>28.9</v>
      </c>
      <c r="F11" s="54">
        <v>29954180</v>
      </c>
      <c r="G11" s="53">
        <v>30.4</v>
      </c>
      <c r="H11" s="28"/>
    </row>
    <row r="12" spans="1:8" x14ac:dyDescent="0.25">
      <c r="A12" s="17" t="s">
        <v>135</v>
      </c>
      <c r="B12" s="39">
        <v>66495039</v>
      </c>
      <c r="C12" s="34">
        <v>72.7</v>
      </c>
      <c r="D12" s="54">
        <v>62766270</v>
      </c>
      <c r="E12" s="53">
        <v>63.8</v>
      </c>
      <c r="F12" s="54">
        <v>61100097</v>
      </c>
      <c r="G12" s="53">
        <v>61.9</v>
      </c>
      <c r="H12" s="28"/>
    </row>
    <row r="13" spans="1:8" x14ac:dyDescent="0.25">
      <c r="A13" s="17" t="s">
        <v>136</v>
      </c>
      <c r="B13" s="39">
        <v>14717047</v>
      </c>
      <c r="C13" s="34">
        <v>16.100000000000001</v>
      </c>
      <c r="D13" s="54">
        <v>13656063</v>
      </c>
      <c r="E13" s="53">
        <v>13.9</v>
      </c>
      <c r="F13" s="54">
        <v>13110331</v>
      </c>
      <c r="G13" s="53">
        <v>13.3</v>
      </c>
      <c r="H13" s="28"/>
    </row>
    <row r="14" spans="1:8" x14ac:dyDescent="0.25">
      <c r="A14" s="17" t="s">
        <v>137</v>
      </c>
      <c r="B14" s="39">
        <v>-13991204</v>
      </c>
      <c r="C14" s="34">
        <v>-15.3</v>
      </c>
      <c r="D14" s="54">
        <v>59081167</v>
      </c>
      <c r="E14" s="53">
        <v>60.1</v>
      </c>
      <c r="F14" s="54">
        <v>43338002</v>
      </c>
      <c r="G14" s="53">
        <v>43.9</v>
      </c>
      <c r="H14" s="28"/>
    </row>
    <row r="15" spans="1:8" x14ac:dyDescent="0.25">
      <c r="A15" s="17" t="s">
        <v>138</v>
      </c>
      <c r="B15" s="39">
        <v>8685917</v>
      </c>
      <c r="C15" s="34">
        <v>9.5</v>
      </c>
      <c r="D15" s="54">
        <v>9026987</v>
      </c>
      <c r="E15" s="53">
        <v>9.1999999999999993</v>
      </c>
      <c r="F15" s="56">
        <v>7812125</v>
      </c>
      <c r="G15" s="53">
        <v>7.9</v>
      </c>
      <c r="H15" s="28"/>
    </row>
    <row r="16" spans="1:8" x14ac:dyDescent="0.25">
      <c r="A16" s="17" t="s">
        <v>139</v>
      </c>
      <c r="B16" s="39">
        <v>10035248</v>
      </c>
      <c r="C16" s="34">
        <v>11</v>
      </c>
      <c r="D16" s="54">
        <v>10307157</v>
      </c>
      <c r="E16" s="53">
        <v>10.5</v>
      </c>
      <c r="F16" s="56">
        <v>9464035</v>
      </c>
      <c r="G16" s="53">
        <v>9.6</v>
      </c>
      <c r="H16" s="28"/>
    </row>
    <row r="17" spans="1:8" x14ac:dyDescent="0.25">
      <c r="A17" s="17" t="s">
        <v>140</v>
      </c>
      <c r="B17" s="39">
        <v>4722576</v>
      </c>
      <c r="C17" s="34">
        <v>5.2</v>
      </c>
      <c r="D17" s="54">
        <v>4881592</v>
      </c>
      <c r="E17" s="53">
        <v>5</v>
      </c>
      <c r="F17" s="56">
        <v>4565544</v>
      </c>
      <c r="G17" s="53">
        <v>4.5999999999999996</v>
      </c>
      <c r="H17" s="28"/>
    </row>
    <row r="18" spans="1:8" x14ac:dyDescent="0.25">
      <c r="A18" s="17" t="s">
        <v>141</v>
      </c>
      <c r="B18" s="39">
        <v>3145067</v>
      </c>
      <c r="C18" s="34">
        <v>3.4</v>
      </c>
      <c r="D18" s="54">
        <v>3366512</v>
      </c>
      <c r="E18" s="53">
        <v>3.4</v>
      </c>
      <c r="F18" s="56">
        <v>2870588</v>
      </c>
      <c r="G18" s="53">
        <v>2.9</v>
      </c>
      <c r="H18" s="28"/>
    </row>
    <row r="19" spans="1:8" x14ac:dyDescent="0.25">
      <c r="A19" s="17" t="s">
        <v>142</v>
      </c>
      <c r="B19" s="39">
        <v>2167605</v>
      </c>
      <c r="C19" s="34">
        <v>2.4</v>
      </c>
      <c r="D19" s="54">
        <v>2059053</v>
      </c>
      <c r="E19" s="53">
        <v>2.1</v>
      </c>
      <c r="F19" s="56">
        <v>2027903</v>
      </c>
      <c r="G19" s="53">
        <v>2.1</v>
      </c>
      <c r="H19" s="28"/>
    </row>
    <row r="20" spans="1:8" x14ac:dyDescent="0.25">
      <c r="A20" s="17" t="s">
        <v>143</v>
      </c>
      <c r="B20" s="39">
        <v>43248612</v>
      </c>
      <c r="C20" s="34">
        <v>47.3</v>
      </c>
      <c r="D20" s="54">
        <v>5055864</v>
      </c>
      <c r="E20" s="53">
        <v>5.0999999999999996</v>
      </c>
      <c r="F20" s="56">
        <v>9612627</v>
      </c>
      <c r="G20" s="53">
        <v>9.6999999999999993</v>
      </c>
      <c r="H20" s="28"/>
    </row>
    <row r="21" spans="1:8" x14ac:dyDescent="0.25">
      <c r="A21" s="17" t="s">
        <v>144</v>
      </c>
      <c r="B21" s="39">
        <v>2598759</v>
      </c>
      <c r="C21" s="34">
        <v>2.8</v>
      </c>
      <c r="D21" s="54">
        <v>2326316</v>
      </c>
      <c r="E21" s="53">
        <v>2.4</v>
      </c>
      <c r="F21" s="56">
        <v>1830717</v>
      </c>
      <c r="G21" s="53">
        <v>1.9</v>
      </c>
      <c r="H21" s="28"/>
    </row>
    <row r="22" spans="1:8" x14ac:dyDescent="0.25">
      <c r="A22" s="17" t="s">
        <v>145</v>
      </c>
      <c r="B22" s="39">
        <v>-126673</v>
      </c>
      <c r="C22" s="34">
        <v>-0.1</v>
      </c>
      <c r="D22" s="54">
        <v>-173067</v>
      </c>
      <c r="E22" s="53">
        <v>-0.2</v>
      </c>
      <c r="F22" s="56">
        <v>-109175</v>
      </c>
      <c r="G22" s="53">
        <v>-0.1</v>
      </c>
      <c r="H22" s="28"/>
    </row>
    <row r="23" spans="1:8" ht="15" customHeight="1" x14ac:dyDescent="0.25">
      <c r="A23" s="17" t="s">
        <v>146</v>
      </c>
      <c r="B23" s="39">
        <v>9132812</v>
      </c>
      <c r="C23" s="34">
        <v>10</v>
      </c>
      <c r="D23" s="54">
        <v>9388189</v>
      </c>
      <c r="E23" s="53">
        <v>9.5</v>
      </c>
      <c r="F23" s="56">
        <v>8130312</v>
      </c>
      <c r="G23" s="53">
        <v>8.1999999999999993</v>
      </c>
    </row>
    <row r="24" spans="1:8" ht="15.75" thickBot="1" x14ac:dyDescent="0.3">
      <c r="A24" s="23" t="s">
        <v>147</v>
      </c>
      <c r="B24" s="32">
        <v>446896</v>
      </c>
      <c r="C24" s="31">
        <v>0.5</v>
      </c>
      <c r="D24" s="32">
        <v>361203</v>
      </c>
      <c r="E24" s="31">
        <v>0.4</v>
      </c>
      <c r="F24" s="32">
        <v>318187</v>
      </c>
      <c r="G24" s="31">
        <v>0.3</v>
      </c>
    </row>
    <row r="25" spans="1:8" ht="15" customHeight="1" x14ac:dyDescent="0.25">
      <c r="A25" s="61" t="s">
        <v>148</v>
      </c>
      <c r="B25" s="61"/>
      <c r="C25" s="61"/>
      <c r="D25" s="61"/>
      <c r="E25" s="61"/>
      <c r="F25" s="61"/>
      <c r="G25" s="61"/>
    </row>
    <row r="26" spans="1:8" ht="15" customHeight="1" x14ac:dyDescent="0.25">
      <c r="A26" s="69" t="s">
        <v>149</v>
      </c>
      <c r="B26" s="69"/>
      <c r="C26" s="69"/>
      <c r="D26" s="69"/>
      <c r="E26" s="69"/>
      <c r="F26" s="69"/>
      <c r="G26" s="69"/>
    </row>
    <row r="27" spans="1:8" x14ac:dyDescent="0.25">
      <c r="A27" s="69" t="s">
        <v>150</v>
      </c>
      <c r="B27" s="69"/>
      <c r="C27" s="69"/>
      <c r="D27" s="69"/>
      <c r="E27" s="69"/>
      <c r="F27" s="69"/>
      <c r="G27" s="69"/>
    </row>
    <row r="28" spans="1:8" x14ac:dyDescent="0.25">
      <c r="A28" s="69" t="s">
        <v>151</v>
      </c>
      <c r="B28" s="69"/>
      <c r="C28" s="69"/>
      <c r="D28" s="69"/>
      <c r="E28" s="69"/>
      <c r="F28" s="69"/>
      <c r="G28" s="69"/>
    </row>
    <row r="29" spans="1:8" x14ac:dyDescent="0.25">
      <c r="A29" s="69" t="s">
        <v>152</v>
      </c>
      <c r="B29" s="69"/>
      <c r="C29" s="69"/>
      <c r="D29" s="69"/>
      <c r="E29" s="69"/>
      <c r="F29" s="69"/>
      <c r="G29" s="69"/>
    </row>
    <row r="30" spans="1:8" x14ac:dyDescent="0.25">
      <c r="A30" s="57"/>
      <c r="B30" s="57"/>
      <c r="C30" s="57"/>
      <c r="D30" s="57"/>
      <c r="E30" s="57"/>
      <c r="F30" s="57"/>
      <c r="G30" s="57"/>
    </row>
  </sheetData>
  <mergeCells count="13">
    <mergeCell ref="A1:G1"/>
    <mergeCell ref="B2:E2"/>
    <mergeCell ref="F2:G2"/>
    <mergeCell ref="A3:A4"/>
    <mergeCell ref="B3:C3"/>
    <mergeCell ref="D3:E3"/>
    <mergeCell ref="F3:G3"/>
    <mergeCell ref="A28:G28"/>
    <mergeCell ref="A29:G29"/>
    <mergeCell ref="A30:G30"/>
    <mergeCell ref="A25:G25"/>
    <mergeCell ref="A26:G26"/>
    <mergeCell ref="A27:G27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H34"/>
  <sheetViews>
    <sheetView workbookViewId="0">
      <selection sqref="A1:G1"/>
    </sheetView>
  </sheetViews>
  <sheetFormatPr baseColWidth="10" defaultRowHeight="15" x14ac:dyDescent="0.25"/>
  <cols>
    <col min="1" max="1" width="48.42578125" style="51" bestFit="1" customWidth="1"/>
    <col min="2" max="2" width="15.7109375" style="51" customWidth="1"/>
    <col min="3" max="3" width="12.85546875" style="51" customWidth="1"/>
    <col min="4" max="4" width="15.7109375" style="51" customWidth="1"/>
    <col min="5" max="5" width="12.85546875" style="51" customWidth="1"/>
    <col min="6" max="6" width="16.42578125" style="51" customWidth="1"/>
    <col min="7" max="7" width="12.140625" style="51" customWidth="1"/>
  </cols>
  <sheetData>
    <row r="1" spans="1:8" ht="15" customHeight="1" x14ac:dyDescent="0.25">
      <c r="A1" s="63" t="s">
        <v>153</v>
      </c>
      <c r="B1" s="63"/>
      <c r="C1" s="63"/>
      <c r="D1" s="63"/>
      <c r="E1" s="63"/>
      <c r="F1" s="63"/>
      <c r="G1" s="63"/>
    </row>
    <row r="2" spans="1:8" ht="15.75" customHeight="1" thickBot="1" x14ac:dyDescent="0.3">
      <c r="A2" s="22"/>
      <c r="B2" s="64" t="s">
        <v>385</v>
      </c>
      <c r="C2" s="64"/>
      <c r="D2" s="64"/>
      <c r="E2" s="64"/>
      <c r="F2" s="74" t="s">
        <v>154</v>
      </c>
      <c r="G2" s="74"/>
    </row>
    <row r="3" spans="1:8" ht="15.75" customHeight="1" thickTop="1" x14ac:dyDescent="0.25">
      <c r="A3" s="65" t="s">
        <v>155</v>
      </c>
      <c r="B3" s="67">
        <v>2022</v>
      </c>
      <c r="C3" s="65"/>
      <c r="D3" s="67">
        <v>2021</v>
      </c>
      <c r="E3" s="65"/>
      <c r="F3" s="67">
        <v>2020</v>
      </c>
      <c r="G3" s="68"/>
    </row>
    <row r="4" spans="1:8" ht="15.75" thickBot="1" x14ac:dyDescent="0.3">
      <c r="A4" s="66"/>
      <c r="B4" s="6" t="s">
        <v>3</v>
      </c>
      <c r="C4" s="37" t="s">
        <v>42</v>
      </c>
      <c r="D4" s="6" t="s">
        <v>3</v>
      </c>
      <c r="E4" s="37" t="s">
        <v>42</v>
      </c>
      <c r="F4" s="6" t="s">
        <v>3</v>
      </c>
      <c r="G4" s="6" t="s">
        <v>42</v>
      </c>
    </row>
    <row r="5" spans="1:8" ht="15.75" thickBot="1" x14ac:dyDescent="0.3">
      <c r="A5" s="37">
        <v>1</v>
      </c>
      <c r="B5" s="6">
        <v>2</v>
      </c>
      <c r="C5" s="37">
        <v>3</v>
      </c>
      <c r="D5" s="6">
        <v>4</v>
      </c>
      <c r="E5" s="37">
        <v>5</v>
      </c>
      <c r="F5" s="6">
        <v>6</v>
      </c>
      <c r="G5" s="6">
        <v>7</v>
      </c>
    </row>
    <row r="6" spans="1:8" ht="15" customHeight="1" x14ac:dyDescent="0.25">
      <c r="A6" s="17" t="s">
        <v>156</v>
      </c>
      <c r="B6" s="87">
        <v>2896493</v>
      </c>
      <c r="C6" s="88">
        <v>3.2</v>
      </c>
      <c r="D6" s="87">
        <v>2988170</v>
      </c>
      <c r="E6" s="88">
        <v>3.1</v>
      </c>
      <c r="F6" s="87">
        <v>3146007</v>
      </c>
      <c r="G6" s="88">
        <v>3.2</v>
      </c>
      <c r="H6" s="57"/>
    </row>
    <row r="7" spans="1:8" ht="15" customHeight="1" x14ac:dyDescent="0.25">
      <c r="A7" s="17" t="s">
        <v>157</v>
      </c>
      <c r="B7" s="58"/>
      <c r="C7" s="59"/>
      <c r="D7" s="58"/>
      <c r="E7" s="59"/>
      <c r="F7" s="58"/>
      <c r="G7" s="59"/>
      <c r="H7" s="57"/>
    </row>
    <row r="8" spans="1:8" ht="15" customHeight="1" x14ac:dyDescent="0.25">
      <c r="A8" s="17" t="s">
        <v>158</v>
      </c>
      <c r="B8" s="58"/>
      <c r="C8" s="59"/>
      <c r="D8" s="58"/>
      <c r="E8" s="59"/>
      <c r="F8" s="58"/>
      <c r="G8" s="59"/>
      <c r="H8" s="57"/>
    </row>
    <row r="9" spans="1:8" x14ac:dyDescent="0.25">
      <c r="A9" s="17" t="s">
        <v>159</v>
      </c>
      <c r="B9" s="39">
        <v>5107274</v>
      </c>
      <c r="C9" s="34">
        <v>5.6</v>
      </c>
      <c r="D9" s="54">
        <v>5074318</v>
      </c>
      <c r="E9" s="53">
        <v>5.2</v>
      </c>
      <c r="F9" s="54">
        <v>4477932</v>
      </c>
      <c r="G9" s="53">
        <v>4.5999999999999996</v>
      </c>
      <c r="H9" s="29"/>
    </row>
    <row r="10" spans="1:8" x14ac:dyDescent="0.25">
      <c r="A10" s="17" t="s">
        <v>160</v>
      </c>
      <c r="B10" s="39">
        <v>174720</v>
      </c>
      <c r="C10" s="34">
        <v>0.2</v>
      </c>
      <c r="D10" s="54">
        <v>166175</v>
      </c>
      <c r="E10" s="53">
        <v>0.2</v>
      </c>
      <c r="F10" s="54">
        <v>168568</v>
      </c>
      <c r="G10" s="53">
        <v>0.2</v>
      </c>
      <c r="H10" s="29"/>
    </row>
    <row r="11" spans="1:8" ht="15" customHeight="1" x14ac:dyDescent="0.25">
      <c r="A11" s="17" t="s">
        <v>161</v>
      </c>
      <c r="B11" s="58">
        <v>7426103</v>
      </c>
      <c r="C11" s="59">
        <v>8.1999999999999993</v>
      </c>
      <c r="D11" s="58">
        <v>-4810585</v>
      </c>
      <c r="E11" s="59">
        <v>-4.9000000000000004</v>
      </c>
      <c r="F11" s="58">
        <v>-4329599</v>
      </c>
      <c r="G11" s="59">
        <v>-4.4000000000000004</v>
      </c>
      <c r="H11" s="57"/>
    </row>
    <row r="12" spans="1:8" x14ac:dyDescent="0.25">
      <c r="A12" s="17" t="s">
        <v>162</v>
      </c>
      <c r="B12" s="58"/>
      <c r="C12" s="59"/>
      <c r="D12" s="58"/>
      <c r="E12" s="59"/>
      <c r="F12" s="58"/>
      <c r="G12" s="59"/>
      <c r="H12" s="57"/>
    </row>
    <row r="13" spans="1:8" x14ac:dyDescent="0.25">
      <c r="A13" s="17" t="s">
        <v>163</v>
      </c>
      <c r="B13" s="39">
        <v>-2620560</v>
      </c>
      <c r="C13" s="34">
        <v>-2.9</v>
      </c>
      <c r="D13" s="54">
        <v>10763635</v>
      </c>
      <c r="E13" s="53">
        <v>11</v>
      </c>
      <c r="F13" s="54">
        <v>9143452</v>
      </c>
      <c r="G13" s="53">
        <v>9.3000000000000007</v>
      </c>
      <c r="H13" s="29"/>
    </row>
    <row r="14" spans="1:8" x14ac:dyDescent="0.25">
      <c r="A14" s="17" t="s">
        <v>164</v>
      </c>
      <c r="B14" s="58">
        <v>-2728318</v>
      </c>
      <c r="C14" s="59">
        <v>-3</v>
      </c>
      <c r="D14" s="58">
        <v>-2824279</v>
      </c>
      <c r="E14" s="59">
        <v>-2.9</v>
      </c>
      <c r="F14" s="58">
        <v>-2555780</v>
      </c>
      <c r="G14" s="59">
        <v>-2.6</v>
      </c>
      <c r="H14" s="57"/>
    </row>
    <row r="15" spans="1:8" ht="15" customHeight="1" x14ac:dyDescent="0.25">
      <c r="A15" s="17" t="s">
        <v>165</v>
      </c>
      <c r="B15" s="58"/>
      <c r="C15" s="59"/>
      <c r="D15" s="58"/>
      <c r="E15" s="59"/>
      <c r="F15" s="58"/>
      <c r="G15" s="59"/>
      <c r="H15" s="57"/>
    </row>
    <row r="16" spans="1:8" x14ac:dyDescent="0.25">
      <c r="A16" s="17" t="s">
        <v>166</v>
      </c>
      <c r="B16" s="39">
        <v>3714951</v>
      </c>
      <c r="C16" s="34">
        <v>4.0999999999999996</v>
      </c>
      <c r="D16" s="54">
        <v>3754074</v>
      </c>
      <c r="E16" s="53">
        <v>3.8</v>
      </c>
      <c r="F16" s="54">
        <v>3547041</v>
      </c>
      <c r="G16" s="53">
        <v>3.6</v>
      </c>
      <c r="H16" s="29"/>
    </row>
    <row r="17" spans="1:8" x14ac:dyDescent="0.25">
      <c r="A17" s="17" t="s">
        <v>167</v>
      </c>
      <c r="B17" s="39">
        <v>17843</v>
      </c>
      <c r="C17" s="34">
        <v>0</v>
      </c>
      <c r="D17" s="54">
        <v>49896</v>
      </c>
      <c r="E17" s="53">
        <v>0.1</v>
      </c>
      <c r="F17" s="54">
        <v>47840</v>
      </c>
      <c r="G17" s="53">
        <v>0</v>
      </c>
      <c r="H17" s="29"/>
    </row>
    <row r="18" spans="1:8" ht="15" customHeight="1" x14ac:dyDescent="0.25">
      <c r="A18" s="17" t="s">
        <v>168</v>
      </c>
      <c r="B18" s="58">
        <v>-256040</v>
      </c>
      <c r="C18" s="59">
        <v>-0.3</v>
      </c>
      <c r="D18" s="58">
        <v>-329681</v>
      </c>
      <c r="E18" s="59">
        <v>-0.3</v>
      </c>
      <c r="F18" s="58">
        <v>-286410</v>
      </c>
      <c r="G18" s="59">
        <v>-0.3</v>
      </c>
      <c r="H18" s="57"/>
    </row>
    <row r="19" spans="1:8" ht="15" customHeight="1" x14ac:dyDescent="0.25">
      <c r="A19" s="17" t="s">
        <v>158</v>
      </c>
      <c r="B19" s="58"/>
      <c r="C19" s="59"/>
      <c r="D19" s="58"/>
      <c r="E19" s="59"/>
      <c r="F19" s="58"/>
      <c r="G19" s="59"/>
      <c r="H19" s="57"/>
    </row>
    <row r="20" spans="1:8" x14ac:dyDescent="0.25">
      <c r="A20" s="17" t="s">
        <v>159</v>
      </c>
      <c r="B20" s="39">
        <v>-515284</v>
      </c>
      <c r="C20" s="34">
        <v>-0.6</v>
      </c>
      <c r="D20" s="54">
        <v>-497737</v>
      </c>
      <c r="E20" s="53">
        <v>-0.5</v>
      </c>
      <c r="F20" s="54">
        <v>-469265</v>
      </c>
      <c r="G20" s="53">
        <v>-0.5</v>
      </c>
      <c r="H20" s="29"/>
    </row>
    <row r="21" spans="1:8" x14ac:dyDescent="0.25">
      <c r="A21" s="17" t="s">
        <v>169</v>
      </c>
      <c r="B21" s="39">
        <v>802687</v>
      </c>
      <c r="C21" s="34">
        <v>0.9</v>
      </c>
      <c r="D21" s="54">
        <v>568312</v>
      </c>
      <c r="E21" s="53">
        <v>0.6</v>
      </c>
      <c r="F21" s="54">
        <v>556993</v>
      </c>
      <c r="G21" s="53">
        <v>0.6</v>
      </c>
      <c r="H21" s="29"/>
    </row>
    <row r="22" spans="1:8" ht="15.75" thickBot="1" x14ac:dyDescent="0.3">
      <c r="A22" s="23" t="s">
        <v>170</v>
      </c>
      <c r="B22" s="32">
        <v>-759882</v>
      </c>
      <c r="C22" s="31">
        <v>-0.8</v>
      </c>
      <c r="D22" s="32">
        <v>-1476092</v>
      </c>
      <c r="E22" s="31">
        <v>-1.5</v>
      </c>
      <c r="F22" s="32">
        <v>-1714251</v>
      </c>
      <c r="G22" s="31">
        <v>-1.7</v>
      </c>
      <c r="H22" s="29"/>
    </row>
    <row r="23" spans="1:8" x14ac:dyDescent="0.25">
      <c r="A23" s="17" t="s">
        <v>171</v>
      </c>
      <c r="B23" s="39">
        <v>10942962</v>
      </c>
      <c r="C23" s="34">
        <v>12</v>
      </c>
      <c r="D23" s="54">
        <v>11063297</v>
      </c>
      <c r="E23" s="53">
        <v>11.3</v>
      </c>
      <c r="F23" s="54">
        <v>9598513</v>
      </c>
      <c r="G23" s="53">
        <v>9.8000000000000007</v>
      </c>
      <c r="H23" s="29"/>
    </row>
    <row r="24" spans="1:8" ht="15.75" thickBot="1" x14ac:dyDescent="0.3">
      <c r="A24" s="23" t="s">
        <v>172</v>
      </c>
      <c r="B24" s="32">
        <v>2317026</v>
      </c>
      <c r="C24" s="31">
        <v>2.5</v>
      </c>
      <c r="D24" s="32">
        <v>2362910</v>
      </c>
      <c r="E24" s="31">
        <v>2.4</v>
      </c>
      <c r="F24" s="32">
        <v>2134015</v>
      </c>
      <c r="G24" s="31">
        <v>2.2000000000000002</v>
      </c>
      <c r="H24" s="29"/>
    </row>
    <row r="25" spans="1:8" ht="15.75" thickBot="1" x14ac:dyDescent="0.3">
      <c r="A25" s="23" t="s">
        <v>173</v>
      </c>
      <c r="B25" s="32">
        <v>8685889</v>
      </c>
      <c r="C25" s="31">
        <v>9.5</v>
      </c>
      <c r="D25" s="32">
        <v>9026955</v>
      </c>
      <c r="E25" s="31">
        <v>9.1999999999999993</v>
      </c>
      <c r="F25" s="32">
        <v>7812079</v>
      </c>
      <c r="G25" s="31">
        <v>8</v>
      </c>
      <c r="H25" s="29"/>
    </row>
    <row r="26" spans="1:8" ht="15.75" thickBot="1" x14ac:dyDescent="0.3">
      <c r="A26" s="23" t="s">
        <v>174</v>
      </c>
      <c r="B26" s="32">
        <v>2257074</v>
      </c>
      <c r="C26" s="31">
        <v>2.5</v>
      </c>
      <c r="D26" s="32">
        <v>2036342</v>
      </c>
      <c r="E26" s="31">
        <v>2.1</v>
      </c>
      <c r="F26" s="32">
        <v>1786434</v>
      </c>
      <c r="G26" s="31">
        <v>1.8</v>
      </c>
      <c r="H26" s="29"/>
    </row>
    <row r="27" spans="1:8" ht="15.75" thickBot="1" x14ac:dyDescent="0.3">
      <c r="A27" s="23" t="s">
        <v>175</v>
      </c>
      <c r="B27" s="32">
        <v>92207</v>
      </c>
      <c r="C27" s="31"/>
      <c r="D27" s="32">
        <v>19816</v>
      </c>
      <c r="E27" s="31"/>
      <c r="F27" s="32">
        <v>22337</v>
      </c>
      <c r="G27" s="31"/>
      <c r="H27" s="29"/>
    </row>
    <row r="28" spans="1:8" ht="15.75" thickBot="1" x14ac:dyDescent="0.3">
      <c r="A28" s="23" t="s">
        <v>176</v>
      </c>
      <c r="B28" s="32">
        <v>2349281</v>
      </c>
      <c r="C28" s="31"/>
      <c r="D28" s="32">
        <v>2056158</v>
      </c>
      <c r="E28" s="31"/>
      <c r="F28" s="32">
        <v>1808771</v>
      </c>
      <c r="G28" s="31"/>
      <c r="H28" s="29"/>
    </row>
    <row r="29" spans="1:8" ht="15" customHeight="1" x14ac:dyDescent="0.25">
      <c r="A29" s="61" t="s">
        <v>177</v>
      </c>
      <c r="B29" s="61"/>
      <c r="C29" s="61"/>
      <c r="D29" s="61"/>
      <c r="E29" s="61"/>
      <c r="F29" s="61"/>
      <c r="G29" s="61"/>
    </row>
    <row r="30" spans="1:8" ht="15" customHeight="1" x14ac:dyDescent="0.25">
      <c r="A30" s="69" t="s">
        <v>178</v>
      </c>
      <c r="B30" s="69"/>
      <c r="C30" s="69"/>
      <c r="D30" s="69"/>
      <c r="E30" s="69"/>
      <c r="F30" s="69"/>
      <c r="G30" s="69"/>
    </row>
    <row r="31" spans="1:8" ht="15" customHeight="1" x14ac:dyDescent="0.25">
      <c r="A31" s="69" t="s">
        <v>179</v>
      </c>
      <c r="B31" s="69"/>
      <c r="C31" s="69"/>
      <c r="D31" s="69"/>
      <c r="E31" s="69"/>
      <c r="F31" s="69"/>
      <c r="G31" s="69"/>
    </row>
    <row r="32" spans="1:8" ht="15" customHeight="1" x14ac:dyDescent="0.25">
      <c r="A32" s="69" t="s">
        <v>180</v>
      </c>
      <c r="B32" s="69"/>
      <c r="C32" s="69"/>
      <c r="D32" s="69"/>
      <c r="E32" s="69"/>
      <c r="F32" s="69"/>
      <c r="G32" s="69"/>
    </row>
    <row r="33" spans="1:7" ht="15" customHeight="1" x14ac:dyDescent="0.25">
      <c r="A33" s="69" t="s">
        <v>181</v>
      </c>
      <c r="B33" s="69"/>
      <c r="C33" s="69"/>
      <c r="D33" s="69"/>
      <c r="E33" s="69"/>
      <c r="F33" s="69"/>
      <c r="G33" s="69"/>
    </row>
    <row r="34" spans="1:7" x14ac:dyDescent="0.25">
      <c r="A34" s="57"/>
      <c r="B34" s="57"/>
      <c r="C34" s="57"/>
      <c r="D34" s="57"/>
      <c r="E34" s="57"/>
      <c r="F34" s="57"/>
      <c r="G34" s="57"/>
    </row>
  </sheetData>
  <mergeCells count="41">
    <mergeCell ref="H18:H19"/>
    <mergeCell ref="H14:H15"/>
    <mergeCell ref="H6:H8"/>
    <mergeCell ref="H11:H12"/>
    <mergeCell ref="A1:G1"/>
    <mergeCell ref="B2:E2"/>
    <mergeCell ref="F2:G2"/>
    <mergeCell ref="A3:A4"/>
    <mergeCell ref="B3:C3"/>
    <mergeCell ref="D3:E3"/>
    <mergeCell ref="F3:G3"/>
    <mergeCell ref="G6:G8"/>
    <mergeCell ref="B11:B12"/>
    <mergeCell ref="C11:C12"/>
    <mergeCell ref="D11:D12"/>
    <mergeCell ref="E11:E12"/>
    <mergeCell ref="F11:F12"/>
    <mergeCell ref="G11:G12"/>
    <mergeCell ref="B6:B8"/>
    <mergeCell ref="C6:C8"/>
    <mergeCell ref="D6:D8"/>
    <mergeCell ref="E6:E8"/>
    <mergeCell ref="F6:F8"/>
    <mergeCell ref="G14:G15"/>
    <mergeCell ref="B18:B19"/>
    <mergeCell ref="C18:C19"/>
    <mergeCell ref="D18:D19"/>
    <mergeCell ref="E18:E19"/>
    <mergeCell ref="F18:F19"/>
    <mergeCell ref="G18:G19"/>
    <mergeCell ref="B14:B15"/>
    <mergeCell ref="C14:C15"/>
    <mergeCell ref="D14:D15"/>
    <mergeCell ref="E14:E15"/>
    <mergeCell ref="F14:F15"/>
    <mergeCell ref="A34:G34"/>
    <mergeCell ref="A29:G29"/>
    <mergeCell ref="A30:G30"/>
    <mergeCell ref="A31:G31"/>
    <mergeCell ref="A32:G32"/>
    <mergeCell ref="A33:G33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Q43"/>
  <sheetViews>
    <sheetView workbookViewId="0">
      <selection sqref="A1:P1"/>
    </sheetView>
  </sheetViews>
  <sheetFormatPr baseColWidth="10" defaultRowHeight="15" x14ac:dyDescent="0.25"/>
  <cols>
    <col min="1" max="1" width="24.140625" style="51" bestFit="1" customWidth="1"/>
    <col min="2" max="2" width="4.140625" style="51" bestFit="1" customWidth="1"/>
    <col min="3" max="3" width="6.140625" style="51" bestFit="1" customWidth="1"/>
    <col min="4" max="4" width="7.85546875" style="51" bestFit="1" customWidth="1"/>
    <col min="5" max="5" width="6.5703125" style="51" bestFit="1" customWidth="1"/>
    <col min="6" max="6" width="6.140625" style="51" bestFit="1" customWidth="1"/>
    <col min="7" max="8" width="6.5703125" style="51" bestFit="1" customWidth="1"/>
    <col min="9" max="9" width="7.140625" style="51" customWidth="1"/>
    <col min="10" max="10" width="6.7109375" style="51" bestFit="1" customWidth="1"/>
    <col min="11" max="11" width="7.7109375" style="51" bestFit="1" customWidth="1"/>
    <col min="12" max="12" width="6.5703125" style="51" bestFit="1" customWidth="1"/>
    <col min="13" max="13" width="6.140625" style="51" bestFit="1" customWidth="1"/>
    <col min="14" max="14" width="7.28515625" style="51" bestFit="1" customWidth="1"/>
    <col min="15" max="15" width="6.5703125" style="51" bestFit="1" customWidth="1"/>
    <col min="16" max="16" width="5.7109375" style="51" bestFit="1" customWidth="1"/>
  </cols>
  <sheetData>
    <row r="1" spans="1:17" ht="15" customHeight="1" x14ac:dyDescent="0.25">
      <c r="A1" s="63" t="s">
        <v>380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7" ht="15" customHeight="1" x14ac:dyDescent="0.25">
      <c r="A2" s="95"/>
      <c r="B2" s="95"/>
      <c r="C2" s="95"/>
      <c r="D2" s="95"/>
      <c r="E2" s="97" t="s">
        <v>389</v>
      </c>
      <c r="F2" s="97"/>
      <c r="G2" s="97"/>
      <c r="H2" s="97"/>
      <c r="I2" s="97"/>
      <c r="J2" s="97"/>
      <c r="K2" s="97"/>
      <c r="L2" s="97"/>
      <c r="M2" s="97"/>
      <c r="N2" s="98" t="s">
        <v>310</v>
      </c>
      <c r="O2" s="98"/>
      <c r="P2" s="98"/>
    </row>
    <row r="3" spans="1:17" ht="15.75" customHeight="1" thickBot="1" x14ac:dyDescent="0.3">
      <c r="A3" s="96"/>
      <c r="B3" s="96"/>
      <c r="C3" s="96"/>
      <c r="D3" s="96"/>
      <c r="E3" s="100" t="s">
        <v>311</v>
      </c>
      <c r="F3" s="100"/>
      <c r="G3" s="100"/>
      <c r="H3" s="100"/>
      <c r="I3" s="100"/>
      <c r="J3" s="100"/>
      <c r="K3" s="100"/>
      <c r="L3" s="100"/>
      <c r="M3" s="100"/>
      <c r="N3" s="99"/>
      <c r="O3" s="99"/>
      <c r="P3" s="99"/>
    </row>
    <row r="4" spans="1:17" ht="15.75" customHeight="1" thickTop="1" x14ac:dyDescent="0.25">
      <c r="A4" s="65" t="s">
        <v>312</v>
      </c>
      <c r="B4" s="36" t="s">
        <v>313</v>
      </c>
      <c r="C4" s="67" t="s">
        <v>314</v>
      </c>
      <c r="D4" s="68"/>
      <c r="E4" s="65"/>
      <c r="F4" s="67" t="s">
        <v>315</v>
      </c>
      <c r="G4" s="68"/>
      <c r="H4" s="68"/>
      <c r="I4" s="68"/>
      <c r="J4" s="68"/>
      <c r="K4" s="68"/>
      <c r="L4" s="68"/>
      <c r="M4" s="68"/>
      <c r="N4" s="68"/>
      <c r="O4" s="68"/>
      <c r="P4" s="68"/>
    </row>
    <row r="5" spans="1:17" ht="24" customHeight="1" x14ac:dyDescent="0.25">
      <c r="A5" s="86"/>
      <c r="B5" s="41" t="s">
        <v>316</v>
      </c>
      <c r="C5" s="101"/>
      <c r="D5" s="102"/>
      <c r="E5" s="86"/>
      <c r="F5" s="101" t="s">
        <v>317</v>
      </c>
      <c r="G5" s="103"/>
      <c r="H5" s="103"/>
      <c r="I5" s="86"/>
      <c r="J5" s="101" t="s">
        <v>318</v>
      </c>
      <c r="K5" s="103"/>
      <c r="L5" s="86"/>
      <c r="M5" s="101" t="s">
        <v>319</v>
      </c>
      <c r="N5" s="103"/>
      <c r="O5" s="103"/>
      <c r="P5" s="103"/>
    </row>
    <row r="6" spans="1:17" ht="15" customHeight="1" x14ac:dyDescent="0.25">
      <c r="A6" s="86"/>
      <c r="B6" s="41" t="s">
        <v>320</v>
      </c>
      <c r="C6" s="101"/>
      <c r="D6" s="102"/>
      <c r="E6" s="86"/>
      <c r="F6" s="101"/>
      <c r="G6" s="103"/>
      <c r="H6" s="103"/>
      <c r="I6" s="86"/>
      <c r="J6" s="49" t="s">
        <v>321</v>
      </c>
      <c r="K6" s="101" t="s">
        <v>322</v>
      </c>
      <c r="L6" s="86"/>
      <c r="M6" s="101"/>
      <c r="N6" s="103"/>
      <c r="O6" s="103"/>
      <c r="P6" s="103"/>
    </row>
    <row r="7" spans="1:17" ht="24" x14ac:dyDescent="0.25">
      <c r="A7" s="86"/>
      <c r="B7" s="41" t="s">
        <v>323</v>
      </c>
      <c r="C7" s="101"/>
      <c r="D7" s="102"/>
      <c r="E7" s="86"/>
      <c r="F7" s="101"/>
      <c r="G7" s="103"/>
      <c r="H7" s="103"/>
      <c r="I7" s="86"/>
      <c r="J7" s="49" t="s">
        <v>324</v>
      </c>
      <c r="K7" s="101"/>
      <c r="L7" s="86"/>
      <c r="M7" s="101"/>
      <c r="N7" s="103"/>
      <c r="O7" s="103"/>
      <c r="P7" s="103"/>
    </row>
    <row r="8" spans="1:17" ht="24" x14ac:dyDescent="0.25">
      <c r="A8" s="86"/>
      <c r="B8" s="41"/>
      <c r="C8" s="104" t="s">
        <v>325</v>
      </c>
      <c r="D8" s="41" t="s">
        <v>326</v>
      </c>
      <c r="E8" s="41" t="s">
        <v>327</v>
      </c>
      <c r="F8" s="104" t="s">
        <v>325</v>
      </c>
      <c r="G8" s="41" t="s">
        <v>326</v>
      </c>
      <c r="H8" s="41" t="s">
        <v>327</v>
      </c>
      <c r="I8" s="41" t="s">
        <v>328</v>
      </c>
      <c r="J8" s="49" t="s">
        <v>329</v>
      </c>
      <c r="K8" s="41" t="s">
        <v>326</v>
      </c>
      <c r="L8" s="41" t="s">
        <v>327</v>
      </c>
      <c r="M8" s="104" t="s">
        <v>325</v>
      </c>
      <c r="N8" s="41" t="s">
        <v>326</v>
      </c>
      <c r="O8" s="41" t="s">
        <v>327</v>
      </c>
      <c r="P8" s="42" t="s">
        <v>328</v>
      </c>
    </row>
    <row r="9" spans="1:17" ht="24.75" thickBot="1" x14ac:dyDescent="0.3">
      <c r="A9" s="66"/>
      <c r="B9" s="37"/>
      <c r="C9" s="83"/>
      <c r="D9" s="37" t="s">
        <v>330</v>
      </c>
      <c r="E9" s="37" t="s">
        <v>331</v>
      </c>
      <c r="F9" s="83"/>
      <c r="G9" s="37" t="s">
        <v>330</v>
      </c>
      <c r="H9" s="37" t="s">
        <v>331</v>
      </c>
      <c r="I9" s="37" t="s">
        <v>332</v>
      </c>
      <c r="J9" s="50"/>
      <c r="K9" s="37" t="s">
        <v>330</v>
      </c>
      <c r="L9" s="37" t="s">
        <v>331</v>
      </c>
      <c r="M9" s="83"/>
      <c r="N9" s="37" t="s">
        <v>330</v>
      </c>
      <c r="O9" s="37" t="s">
        <v>331</v>
      </c>
      <c r="P9" s="6" t="s">
        <v>332</v>
      </c>
    </row>
    <row r="10" spans="1:17" ht="15.75" thickBot="1" x14ac:dyDescent="0.3">
      <c r="A10" s="37">
        <v>1</v>
      </c>
      <c r="B10" s="37">
        <v>2</v>
      </c>
      <c r="C10" s="37">
        <v>3</v>
      </c>
      <c r="D10" s="37">
        <v>4</v>
      </c>
      <c r="E10" s="37">
        <v>5</v>
      </c>
      <c r="F10" s="37">
        <v>6</v>
      </c>
      <c r="G10" s="37">
        <v>7</v>
      </c>
      <c r="H10" s="37">
        <v>8</v>
      </c>
      <c r="I10" s="37">
        <v>9</v>
      </c>
      <c r="J10" s="37">
        <v>10</v>
      </c>
      <c r="K10" s="37">
        <v>11</v>
      </c>
      <c r="L10" s="37">
        <v>12</v>
      </c>
      <c r="M10" s="37">
        <v>13</v>
      </c>
      <c r="N10" s="37">
        <v>14</v>
      </c>
      <c r="O10" s="37">
        <v>15</v>
      </c>
      <c r="P10" s="6">
        <v>16</v>
      </c>
    </row>
    <row r="11" spans="1:17" x14ac:dyDescent="0.25">
      <c r="A11" s="17" t="s">
        <v>333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6"/>
      <c r="Q11" s="30"/>
    </row>
    <row r="12" spans="1:17" x14ac:dyDescent="0.25">
      <c r="A12" s="17" t="s">
        <v>334</v>
      </c>
      <c r="B12" s="70">
        <v>76</v>
      </c>
      <c r="C12" s="71">
        <v>14239</v>
      </c>
      <c r="D12" s="71">
        <v>339407</v>
      </c>
      <c r="E12" s="71">
        <v>9344</v>
      </c>
      <c r="F12" s="70">
        <v>193</v>
      </c>
      <c r="G12" s="71">
        <v>2221</v>
      </c>
      <c r="H12" s="70">
        <v>102</v>
      </c>
      <c r="I12" s="70">
        <v>194</v>
      </c>
      <c r="J12" s="70">
        <v>105</v>
      </c>
      <c r="K12" s="71">
        <v>2284</v>
      </c>
      <c r="L12" s="70">
        <v>194</v>
      </c>
      <c r="M12" s="70">
        <v>489</v>
      </c>
      <c r="N12" s="71">
        <v>14875</v>
      </c>
      <c r="O12" s="70">
        <v>562</v>
      </c>
      <c r="P12" s="72">
        <v>308</v>
      </c>
      <c r="Q12" s="57"/>
    </row>
    <row r="13" spans="1:17" x14ac:dyDescent="0.25">
      <c r="A13" s="17" t="s">
        <v>335</v>
      </c>
      <c r="B13" s="70"/>
      <c r="C13" s="71"/>
      <c r="D13" s="71"/>
      <c r="E13" s="71"/>
      <c r="F13" s="70"/>
      <c r="G13" s="71"/>
      <c r="H13" s="70"/>
      <c r="I13" s="70"/>
      <c r="J13" s="70"/>
      <c r="K13" s="71"/>
      <c r="L13" s="70"/>
      <c r="M13" s="70"/>
      <c r="N13" s="71"/>
      <c r="O13" s="70"/>
      <c r="P13" s="72"/>
      <c r="Q13" s="57"/>
    </row>
    <row r="14" spans="1:17" x14ac:dyDescent="0.25">
      <c r="A14" s="17" t="s">
        <v>336</v>
      </c>
      <c r="B14" s="15">
        <v>77</v>
      </c>
      <c r="C14" s="14">
        <v>8174</v>
      </c>
      <c r="D14" s="14">
        <v>847956</v>
      </c>
      <c r="E14" s="14">
        <v>3533</v>
      </c>
      <c r="F14" s="15">
        <v>416</v>
      </c>
      <c r="G14" s="14">
        <v>71334</v>
      </c>
      <c r="H14" s="15">
        <v>186</v>
      </c>
      <c r="I14" s="15">
        <v>16</v>
      </c>
      <c r="J14" s="14">
        <v>4425</v>
      </c>
      <c r="K14" s="14">
        <v>2714</v>
      </c>
      <c r="L14" s="15">
        <v>18</v>
      </c>
      <c r="M14" s="15">
        <v>490</v>
      </c>
      <c r="N14" s="14">
        <v>137298</v>
      </c>
      <c r="O14" s="15">
        <v>241</v>
      </c>
      <c r="P14" s="16">
        <v>31</v>
      </c>
      <c r="Q14" s="30"/>
    </row>
    <row r="15" spans="1:17" x14ac:dyDescent="0.25">
      <c r="A15" s="17" t="s">
        <v>337</v>
      </c>
      <c r="B15" s="15">
        <v>75</v>
      </c>
      <c r="C15" s="14">
        <v>13535</v>
      </c>
      <c r="D15" s="14">
        <v>350526</v>
      </c>
      <c r="E15" s="14">
        <v>12130</v>
      </c>
      <c r="F15" s="15">
        <v>226</v>
      </c>
      <c r="G15" s="14">
        <v>6288</v>
      </c>
      <c r="H15" s="15">
        <v>261</v>
      </c>
      <c r="I15" s="14">
        <v>4435</v>
      </c>
      <c r="J15" s="15">
        <v>266</v>
      </c>
      <c r="K15" s="14">
        <v>3525</v>
      </c>
      <c r="L15" s="15">
        <v>281</v>
      </c>
      <c r="M15" s="15">
        <v>568</v>
      </c>
      <c r="N15" s="14">
        <v>18651</v>
      </c>
      <c r="O15" s="15">
        <v>829</v>
      </c>
      <c r="P15" s="18">
        <v>5829</v>
      </c>
      <c r="Q15" s="30"/>
    </row>
    <row r="16" spans="1:17" x14ac:dyDescent="0.25">
      <c r="A16" s="17" t="s">
        <v>338</v>
      </c>
      <c r="B16" s="15">
        <v>67</v>
      </c>
      <c r="C16" s="14">
        <v>5292</v>
      </c>
      <c r="D16" s="14">
        <v>869818</v>
      </c>
      <c r="E16" s="14">
        <v>5133</v>
      </c>
      <c r="F16" s="15">
        <v>401</v>
      </c>
      <c r="G16" s="14">
        <v>69573</v>
      </c>
      <c r="H16" s="15">
        <v>408</v>
      </c>
      <c r="I16" s="15">
        <v>1</v>
      </c>
      <c r="J16" s="15">
        <v>233</v>
      </c>
      <c r="K16" s="14">
        <v>17163</v>
      </c>
      <c r="L16" s="15">
        <v>132</v>
      </c>
      <c r="M16" s="15">
        <v>599</v>
      </c>
      <c r="N16" s="14">
        <v>113482</v>
      </c>
      <c r="O16" s="15">
        <v>707</v>
      </c>
      <c r="P16" s="16">
        <v>1</v>
      </c>
      <c r="Q16" s="30"/>
    </row>
    <row r="17" spans="1:17" x14ac:dyDescent="0.25">
      <c r="A17" s="17" t="s">
        <v>339</v>
      </c>
      <c r="B17" s="15">
        <v>30</v>
      </c>
      <c r="C17" s="15">
        <v>244</v>
      </c>
      <c r="D17" s="14">
        <v>29102</v>
      </c>
      <c r="E17" s="15">
        <v>174</v>
      </c>
      <c r="F17" s="15">
        <v>5</v>
      </c>
      <c r="G17" s="15">
        <v>620</v>
      </c>
      <c r="H17" s="15">
        <v>5</v>
      </c>
      <c r="I17" s="15">
        <v>16</v>
      </c>
      <c r="J17" s="15">
        <v>86</v>
      </c>
      <c r="K17" s="15">
        <v>369</v>
      </c>
      <c r="L17" s="15">
        <v>4</v>
      </c>
      <c r="M17" s="15">
        <v>11</v>
      </c>
      <c r="N17" s="14">
        <v>1539</v>
      </c>
      <c r="O17" s="15">
        <v>10</v>
      </c>
      <c r="P17" s="16">
        <v>17</v>
      </c>
      <c r="Q17" s="30"/>
    </row>
    <row r="18" spans="1:17" x14ac:dyDescent="0.25">
      <c r="A18" s="17" t="s">
        <v>340</v>
      </c>
      <c r="B18" s="15">
        <v>25</v>
      </c>
      <c r="C18" s="15">
        <v>723</v>
      </c>
      <c r="D18" s="14">
        <v>4867</v>
      </c>
      <c r="E18" s="15">
        <v>249</v>
      </c>
      <c r="F18" s="15">
        <v>57</v>
      </c>
      <c r="G18" s="15">
        <v>577</v>
      </c>
      <c r="H18" s="15">
        <v>27</v>
      </c>
      <c r="I18" s="15">
        <v>5</v>
      </c>
      <c r="J18" s="15">
        <v>1</v>
      </c>
      <c r="K18" s="15">
        <v>52</v>
      </c>
      <c r="L18" s="15">
        <v>3</v>
      </c>
      <c r="M18" s="15">
        <v>59</v>
      </c>
      <c r="N18" s="15">
        <v>646</v>
      </c>
      <c r="O18" s="15">
        <v>30</v>
      </c>
      <c r="P18" s="16">
        <v>5</v>
      </c>
      <c r="Q18" s="30"/>
    </row>
    <row r="19" spans="1:17" x14ac:dyDescent="0.25">
      <c r="A19" s="17" t="s">
        <v>337</v>
      </c>
      <c r="B19" s="70">
        <v>63</v>
      </c>
      <c r="C19" s="71">
        <v>5422</v>
      </c>
      <c r="D19" s="71">
        <v>67090</v>
      </c>
      <c r="E19" s="71">
        <v>2637</v>
      </c>
      <c r="F19" s="70">
        <v>16</v>
      </c>
      <c r="G19" s="70">
        <v>136</v>
      </c>
      <c r="H19" s="70">
        <v>8</v>
      </c>
      <c r="I19" s="70">
        <v>17</v>
      </c>
      <c r="J19" s="70">
        <v>18</v>
      </c>
      <c r="K19" s="71">
        <v>1174</v>
      </c>
      <c r="L19" s="70">
        <v>90</v>
      </c>
      <c r="M19" s="70">
        <v>129</v>
      </c>
      <c r="N19" s="71">
        <v>2841</v>
      </c>
      <c r="O19" s="70">
        <v>142</v>
      </c>
      <c r="P19" s="72">
        <v>678</v>
      </c>
      <c r="Q19" s="57"/>
    </row>
    <row r="20" spans="1:17" x14ac:dyDescent="0.25">
      <c r="A20" s="17" t="s">
        <v>341</v>
      </c>
      <c r="B20" s="70"/>
      <c r="C20" s="71"/>
      <c r="D20" s="71"/>
      <c r="E20" s="71"/>
      <c r="F20" s="70"/>
      <c r="G20" s="70"/>
      <c r="H20" s="70"/>
      <c r="I20" s="70"/>
      <c r="J20" s="70"/>
      <c r="K20" s="71"/>
      <c r="L20" s="70"/>
      <c r="M20" s="70"/>
      <c r="N20" s="71"/>
      <c r="O20" s="70"/>
      <c r="P20" s="72"/>
      <c r="Q20" s="57"/>
    </row>
    <row r="21" spans="1:17" x14ac:dyDescent="0.25">
      <c r="A21" s="17" t="s">
        <v>342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6"/>
      <c r="Q21" s="30"/>
    </row>
    <row r="22" spans="1:17" x14ac:dyDescent="0.25">
      <c r="A22" s="17" t="s">
        <v>343</v>
      </c>
      <c r="B22" s="70">
        <v>64</v>
      </c>
      <c r="C22" s="71">
        <v>4220</v>
      </c>
      <c r="D22" s="71">
        <v>86132</v>
      </c>
      <c r="E22" s="71">
        <v>1518</v>
      </c>
      <c r="F22" s="70">
        <v>41</v>
      </c>
      <c r="G22" s="71">
        <v>3671</v>
      </c>
      <c r="H22" s="70">
        <v>23</v>
      </c>
      <c r="I22" s="70">
        <v>63</v>
      </c>
      <c r="J22" s="70">
        <v>172</v>
      </c>
      <c r="K22" s="70">
        <v>729</v>
      </c>
      <c r="L22" s="70">
        <v>23</v>
      </c>
      <c r="M22" s="70">
        <v>68</v>
      </c>
      <c r="N22" s="71">
        <v>5645</v>
      </c>
      <c r="O22" s="70">
        <v>63</v>
      </c>
      <c r="P22" s="72">
        <v>159</v>
      </c>
      <c r="Q22" s="57"/>
    </row>
    <row r="23" spans="1:17" x14ac:dyDescent="0.25">
      <c r="A23" s="17" t="s">
        <v>344</v>
      </c>
      <c r="B23" s="70"/>
      <c r="C23" s="71"/>
      <c r="D23" s="71"/>
      <c r="E23" s="71"/>
      <c r="F23" s="70"/>
      <c r="G23" s="71"/>
      <c r="H23" s="70"/>
      <c r="I23" s="70"/>
      <c r="J23" s="70"/>
      <c r="K23" s="70"/>
      <c r="L23" s="70"/>
      <c r="M23" s="70"/>
      <c r="N23" s="71"/>
      <c r="O23" s="70"/>
      <c r="P23" s="72"/>
      <c r="Q23" s="57"/>
    </row>
    <row r="24" spans="1:17" x14ac:dyDescent="0.25">
      <c r="A24" s="17" t="s">
        <v>345</v>
      </c>
      <c r="B24" s="15">
        <v>36</v>
      </c>
      <c r="C24" s="15">
        <v>633</v>
      </c>
      <c r="D24" s="14">
        <v>13040</v>
      </c>
      <c r="E24" s="15">
        <v>85</v>
      </c>
      <c r="F24" s="15">
        <v>90</v>
      </c>
      <c r="G24" s="14">
        <v>2460</v>
      </c>
      <c r="H24" s="15">
        <v>12</v>
      </c>
      <c r="I24" s="15">
        <v>0</v>
      </c>
      <c r="J24" s="15">
        <v>0</v>
      </c>
      <c r="K24" s="15">
        <v>19</v>
      </c>
      <c r="L24" s="15">
        <v>0</v>
      </c>
      <c r="M24" s="15">
        <v>91</v>
      </c>
      <c r="N24" s="14">
        <v>2495</v>
      </c>
      <c r="O24" s="15">
        <v>12</v>
      </c>
      <c r="P24" s="16">
        <v>0</v>
      </c>
      <c r="Q24" s="30"/>
    </row>
    <row r="25" spans="1:17" x14ac:dyDescent="0.25">
      <c r="A25" s="17" t="s">
        <v>346</v>
      </c>
      <c r="B25" s="15">
        <v>31</v>
      </c>
      <c r="C25" s="15">
        <v>967</v>
      </c>
      <c r="D25" s="14">
        <v>12717</v>
      </c>
      <c r="E25" s="15">
        <v>19</v>
      </c>
      <c r="F25" s="15">
        <v>288</v>
      </c>
      <c r="G25" s="14">
        <v>4258</v>
      </c>
      <c r="H25" s="15">
        <v>7</v>
      </c>
      <c r="I25" s="15">
        <v>145</v>
      </c>
      <c r="J25" s="15" t="s">
        <v>46</v>
      </c>
      <c r="K25" s="15">
        <v>2</v>
      </c>
      <c r="L25" s="15">
        <v>0</v>
      </c>
      <c r="M25" s="15">
        <v>288</v>
      </c>
      <c r="N25" s="14">
        <v>4262</v>
      </c>
      <c r="O25" s="15">
        <v>7</v>
      </c>
      <c r="P25" s="16">
        <v>145</v>
      </c>
      <c r="Q25" s="30"/>
    </row>
    <row r="26" spans="1:17" x14ac:dyDescent="0.25">
      <c r="A26" s="17" t="s">
        <v>347</v>
      </c>
      <c r="B26" s="70">
        <v>68</v>
      </c>
      <c r="C26" s="71">
        <v>7599</v>
      </c>
      <c r="D26" s="71">
        <v>255430</v>
      </c>
      <c r="E26" s="71">
        <v>7208</v>
      </c>
      <c r="F26" s="70">
        <v>445</v>
      </c>
      <c r="G26" s="71">
        <v>14773</v>
      </c>
      <c r="H26" s="70">
        <v>476</v>
      </c>
      <c r="I26" s="71">
        <v>1643</v>
      </c>
      <c r="J26" s="71">
        <v>1014</v>
      </c>
      <c r="K26" s="71">
        <v>4213</v>
      </c>
      <c r="L26" s="70">
        <v>605</v>
      </c>
      <c r="M26" s="70">
        <v>553</v>
      </c>
      <c r="N26" s="71">
        <v>25288</v>
      </c>
      <c r="O26" s="71">
        <v>1183</v>
      </c>
      <c r="P26" s="94">
        <v>2743</v>
      </c>
      <c r="Q26" s="57"/>
    </row>
    <row r="27" spans="1:17" x14ac:dyDescent="0.25">
      <c r="A27" s="17" t="s">
        <v>348</v>
      </c>
      <c r="B27" s="70"/>
      <c r="C27" s="71"/>
      <c r="D27" s="71"/>
      <c r="E27" s="71"/>
      <c r="F27" s="70"/>
      <c r="G27" s="71"/>
      <c r="H27" s="70"/>
      <c r="I27" s="71"/>
      <c r="J27" s="71"/>
      <c r="K27" s="71"/>
      <c r="L27" s="70"/>
      <c r="M27" s="70"/>
      <c r="N27" s="71"/>
      <c r="O27" s="71"/>
      <c r="P27" s="94"/>
      <c r="Q27" s="57"/>
    </row>
    <row r="28" spans="1:17" x14ac:dyDescent="0.25">
      <c r="A28" s="17" t="s">
        <v>337</v>
      </c>
      <c r="B28" s="70">
        <v>45</v>
      </c>
      <c r="C28" s="70">
        <v>200</v>
      </c>
      <c r="D28" s="71">
        <v>2925</v>
      </c>
      <c r="E28" s="70">
        <v>100</v>
      </c>
      <c r="F28" s="70">
        <v>2</v>
      </c>
      <c r="G28" s="70">
        <v>17</v>
      </c>
      <c r="H28" s="70">
        <v>0</v>
      </c>
      <c r="I28" s="70">
        <v>4</v>
      </c>
      <c r="J28" s="70">
        <v>0</v>
      </c>
      <c r="K28" s="70">
        <v>39</v>
      </c>
      <c r="L28" s="70">
        <v>4</v>
      </c>
      <c r="M28" s="70">
        <v>8</v>
      </c>
      <c r="N28" s="70">
        <v>143</v>
      </c>
      <c r="O28" s="70">
        <v>6</v>
      </c>
      <c r="P28" s="72">
        <v>34</v>
      </c>
      <c r="Q28" s="57"/>
    </row>
    <row r="29" spans="1:17" x14ac:dyDescent="0.25">
      <c r="A29" s="17" t="s">
        <v>341</v>
      </c>
      <c r="B29" s="70"/>
      <c r="C29" s="70"/>
      <c r="D29" s="71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2"/>
      <c r="Q29" s="57"/>
    </row>
    <row r="30" spans="1:17" x14ac:dyDescent="0.25">
      <c r="A30" s="17" t="s">
        <v>349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6"/>
      <c r="Q30" s="30"/>
    </row>
    <row r="31" spans="1:17" x14ac:dyDescent="0.25">
      <c r="A31" s="17" t="s">
        <v>350</v>
      </c>
      <c r="B31" s="70">
        <v>71</v>
      </c>
      <c r="C31" s="71">
        <v>12291</v>
      </c>
      <c r="D31" s="71">
        <v>409102</v>
      </c>
      <c r="E31" s="71">
        <v>13249</v>
      </c>
      <c r="F31" s="71">
        <v>1436</v>
      </c>
      <c r="G31" s="71">
        <v>64458</v>
      </c>
      <c r="H31" s="71">
        <v>2027</v>
      </c>
      <c r="I31" s="71">
        <v>8808</v>
      </c>
      <c r="J31" s="70">
        <v>2</v>
      </c>
      <c r="K31" s="71">
        <v>9355</v>
      </c>
      <c r="L31" s="70">
        <v>404</v>
      </c>
      <c r="M31" s="71">
        <v>1904</v>
      </c>
      <c r="N31" s="71">
        <v>87165</v>
      </c>
      <c r="O31" s="71">
        <v>2782</v>
      </c>
      <c r="P31" s="94">
        <v>10007</v>
      </c>
      <c r="Q31" s="57"/>
    </row>
    <row r="32" spans="1:17" x14ac:dyDescent="0.25">
      <c r="A32" s="17" t="s">
        <v>351</v>
      </c>
      <c r="B32" s="70"/>
      <c r="C32" s="71"/>
      <c r="D32" s="71"/>
      <c r="E32" s="71"/>
      <c r="F32" s="71"/>
      <c r="G32" s="71"/>
      <c r="H32" s="71"/>
      <c r="I32" s="71"/>
      <c r="J32" s="70"/>
      <c r="K32" s="71"/>
      <c r="L32" s="70"/>
      <c r="M32" s="71"/>
      <c r="N32" s="71"/>
      <c r="O32" s="71"/>
      <c r="P32" s="94"/>
      <c r="Q32" s="57"/>
    </row>
    <row r="33" spans="1:17" x14ac:dyDescent="0.25">
      <c r="A33" s="17" t="s">
        <v>352</v>
      </c>
      <c r="B33" s="70">
        <v>23</v>
      </c>
      <c r="C33" s="71">
        <v>3951</v>
      </c>
      <c r="D33" s="71">
        <v>50727</v>
      </c>
      <c r="E33" s="70">
        <v>86</v>
      </c>
      <c r="F33" s="70">
        <v>777</v>
      </c>
      <c r="G33" s="71">
        <v>14267</v>
      </c>
      <c r="H33" s="70">
        <v>46</v>
      </c>
      <c r="I33" s="71">
        <v>1183</v>
      </c>
      <c r="J33" s="70">
        <v>0</v>
      </c>
      <c r="K33" s="71">
        <v>1987</v>
      </c>
      <c r="L33" s="70">
        <v>3</v>
      </c>
      <c r="M33" s="70">
        <v>804</v>
      </c>
      <c r="N33" s="71">
        <v>18656</v>
      </c>
      <c r="O33" s="70">
        <v>65</v>
      </c>
      <c r="P33" s="94">
        <v>1457</v>
      </c>
      <c r="Q33" s="57"/>
    </row>
    <row r="34" spans="1:17" x14ac:dyDescent="0.25">
      <c r="A34" s="17" t="s">
        <v>353</v>
      </c>
      <c r="B34" s="70"/>
      <c r="C34" s="71"/>
      <c r="D34" s="71"/>
      <c r="E34" s="70"/>
      <c r="F34" s="70"/>
      <c r="G34" s="71"/>
      <c r="H34" s="70"/>
      <c r="I34" s="71"/>
      <c r="J34" s="70"/>
      <c r="K34" s="71"/>
      <c r="L34" s="70"/>
      <c r="M34" s="70"/>
      <c r="N34" s="71"/>
      <c r="O34" s="70"/>
      <c r="P34" s="94"/>
      <c r="Q34" s="57"/>
    </row>
    <row r="35" spans="1:17" x14ac:dyDescent="0.25">
      <c r="A35" s="17" t="s">
        <v>354</v>
      </c>
      <c r="B35" s="15" t="s">
        <v>46</v>
      </c>
      <c r="C35" s="15" t="s">
        <v>46</v>
      </c>
      <c r="D35" s="15" t="s">
        <v>46</v>
      </c>
      <c r="E35" s="15" t="s">
        <v>46</v>
      </c>
      <c r="F35" s="15" t="s">
        <v>46</v>
      </c>
      <c r="G35" s="15" t="s">
        <v>46</v>
      </c>
      <c r="H35" s="15" t="s">
        <v>46</v>
      </c>
      <c r="I35" s="15" t="s">
        <v>46</v>
      </c>
      <c r="J35" s="15" t="s">
        <v>46</v>
      </c>
      <c r="K35" s="15" t="s">
        <v>46</v>
      </c>
      <c r="L35" s="15" t="s">
        <v>46</v>
      </c>
      <c r="M35" s="15" t="s">
        <v>46</v>
      </c>
      <c r="N35" s="15" t="s">
        <v>46</v>
      </c>
      <c r="O35" s="15" t="s">
        <v>46</v>
      </c>
      <c r="P35" s="16" t="s">
        <v>46</v>
      </c>
      <c r="Q35" s="30"/>
    </row>
    <row r="36" spans="1:17" x14ac:dyDescent="0.25">
      <c r="A36" s="17" t="s">
        <v>355</v>
      </c>
      <c r="B36" s="15">
        <v>29</v>
      </c>
      <c r="C36" s="15">
        <v>338</v>
      </c>
      <c r="D36" s="14">
        <v>31341</v>
      </c>
      <c r="E36" s="15">
        <v>312</v>
      </c>
      <c r="F36" s="15">
        <v>53</v>
      </c>
      <c r="G36" s="14">
        <v>4017</v>
      </c>
      <c r="H36" s="15">
        <v>49</v>
      </c>
      <c r="I36" s="14">
        <v>3816</v>
      </c>
      <c r="J36" s="15">
        <v>7</v>
      </c>
      <c r="K36" s="14">
        <v>2322</v>
      </c>
      <c r="L36" s="15">
        <v>216</v>
      </c>
      <c r="M36" s="15">
        <v>54</v>
      </c>
      <c r="N36" s="14">
        <v>6488</v>
      </c>
      <c r="O36" s="15">
        <v>274</v>
      </c>
      <c r="P36" s="18">
        <v>5894</v>
      </c>
      <c r="Q36" s="30"/>
    </row>
    <row r="37" spans="1:17" x14ac:dyDescent="0.25">
      <c r="A37" s="17" t="s">
        <v>356</v>
      </c>
      <c r="B37" s="70">
        <v>45</v>
      </c>
      <c r="C37" s="71">
        <v>4436</v>
      </c>
      <c r="D37" s="71">
        <v>95059</v>
      </c>
      <c r="E37" s="71">
        <v>2885</v>
      </c>
      <c r="F37" s="70">
        <v>97</v>
      </c>
      <c r="G37" s="71">
        <v>1847</v>
      </c>
      <c r="H37" s="70">
        <v>55</v>
      </c>
      <c r="I37" s="70">
        <v>70</v>
      </c>
      <c r="J37" s="70">
        <v>0</v>
      </c>
      <c r="K37" s="71">
        <v>3135</v>
      </c>
      <c r="L37" s="70">
        <v>83</v>
      </c>
      <c r="M37" s="70">
        <v>321</v>
      </c>
      <c r="N37" s="71">
        <v>8442</v>
      </c>
      <c r="O37" s="70">
        <v>245</v>
      </c>
      <c r="P37" s="72">
        <v>888</v>
      </c>
      <c r="Q37" s="57"/>
    </row>
    <row r="38" spans="1:17" ht="15.75" thickBot="1" x14ac:dyDescent="0.3">
      <c r="A38" s="19" t="s">
        <v>357</v>
      </c>
      <c r="B38" s="90"/>
      <c r="C38" s="91"/>
      <c r="D38" s="91"/>
      <c r="E38" s="91"/>
      <c r="F38" s="90"/>
      <c r="G38" s="91"/>
      <c r="H38" s="90"/>
      <c r="I38" s="90"/>
      <c r="J38" s="90"/>
      <c r="K38" s="91"/>
      <c r="L38" s="90"/>
      <c r="M38" s="90"/>
      <c r="N38" s="91"/>
      <c r="O38" s="90"/>
      <c r="P38" s="92"/>
      <c r="Q38" s="57"/>
    </row>
    <row r="39" spans="1:17" ht="15.75" thickBot="1" x14ac:dyDescent="0.3">
      <c r="A39" s="19" t="s">
        <v>358</v>
      </c>
      <c r="B39" s="31"/>
      <c r="C39" s="20">
        <v>82265</v>
      </c>
      <c r="D39" s="20">
        <v>3465237</v>
      </c>
      <c r="E39" s="20">
        <v>58663</v>
      </c>
      <c r="F39" s="20">
        <v>4545</v>
      </c>
      <c r="G39" s="20">
        <v>260515</v>
      </c>
      <c r="H39" s="20">
        <v>3692</v>
      </c>
      <c r="I39" s="20">
        <v>20417</v>
      </c>
      <c r="J39" s="20">
        <v>6331</v>
      </c>
      <c r="K39" s="20">
        <v>49080</v>
      </c>
      <c r="L39" s="20">
        <v>2061</v>
      </c>
      <c r="M39" s="20">
        <v>6436</v>
      </c>
      <c r="N39" s="20">
        <v>447917</v>
      </c>
      <c r="O39" s="20">
        <v>7156</v>
      </c>
      <c r="P39" s="21">
        <v>28197</v>
      </c>
      <c r="Q39" s="30"/>
    </row>
    <row r="40" spans="1:17" ht="15" customHeight="1" x14ac:dyDescent="0.25">
      <c r="A40" s="93" t="s">
        <v>359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</row>
    <row r="41" spans="1:17" ht="15" customHeight="1" x14ac:dyDescent="0.25">
      <c r="A41" s="89" t="s">
        <v>360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</row>
    <row r="42" spans="1:17" ht="15" customHeight="1" x14ac:dyDescent="0.25">
      <c r="A42" s="89" t="s">
        <v>361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</row>
    <row r="43" spans="1:17" ht="15" customHeight="1" x14ac:dyDescent="0.25">
      <c r="A43" s="89" t="s">
        <v>362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</row>
  </sheetData>
  <mergeCells count="147">
    <mergeCell ref="C12:C13"/>
    <mergeCell ref="D12:D13"/>
    <mergeCell ref="E12:E13"/>
    <mergeCell ref="F12:F13"/>
    <mergeCell ref="M12:M13"/>
    <mergeCell ref="N12:N13"/>
    <mergeCell ref="O12:O13"/>
    <mergeCell ref="P12:P13"/>
    <mergeCell ref="A1:P1"/>
    <mergeCell ref="A2:D3"/>
    <mergeCell ref="E2:M2"/>
    <mergeCell ref="N2:P3"/>
    <mergeCell ref="E3:M3"/>
    <mergeCell ref="A4:A9"/>
    <mergeCell ref="C4:E7"/>
    <mergeCell ref="F4:P4"/>
    <mergeCell ref="F5:I7"/>
    <mergeCell ref="J5:L5"/>
    <mergeCell ref="M5:P7"/>
    <mergeCell ref="K6:L7"/>
    <mergeCell ref="C8:C9"/>
    <mergeCell ref="F8:F9"/>
    <mergeCell ref="M8:M9"/>
    <mergeCell ref="G19:G20"/>
    <mergeCell ref="H19:H20"/>
    <mergeCell ref="I19:I20"/>
    <mergeCell ref="J19:J20"/>
    <mergeCell ref="Q12:Q13"/>
    <mergeCell ref="B19:B20"/>
    <mergeCell ref="C19:C20"/>
    <mergeCell ref="D19:D20"/>
    <mergeCell ref="E19:E20"/>
    <mergeCell ref="F19:F20"/>
    <mergeCell ref="G12:G13"/>
    <mergeCell ref="H12:H13"/>
    <mergeCell ref="I12:I13"/>
    <mergeCell ref="J12:J13"/>
    <mergeCell ref="K12:K13"/>
    <mergeCell ref="L12:L13"/>
    <mergeCell ref="M19:M20"/>
    <mergeCell ref="N19:N20"/>
    <mergeCell ref="O19:O20"/>
    <mergeCell ref="P19:P20"/>
    <mergeCell ref="Q19:Q20"/>
    <mergeCell ref="K19:K20"/>
    <mergeCell ref="L19:L20"/>
    <mergeCell ref="B12:B13"/>
    <mergeCell ref="B26:B27"/>
    <mergeCell ref="C26:C27"/>
    <mergeCell ref="D26:D27"/>
    <mergeCell ref="E26:E27"/>
    <mergeCell ref="F26:F27"/>
    <mergeCell ref="G22:G23"/>
    <mergeCell ref="H22:H23"/>
    <mergeCell ref="I22:I23"/>
    <mergeCell ref="J22:J23"/>
    <mergeCell ref="B22:B23"/>
    <mergeCell ref="C22:C23"/>
    <mergeCell ref="D22:D23"/>
    <mergeCell ref="E22:E23"/>
    <mergeCell ref="F22:F23"/>
    <mergeCell ref="G26:G27"/>
    <mergeCell ref="H26:H27"/>
    <mergeCell ref="I26:I27"/>
    <mergeCell ref="J26:J27"/>
    <mergeCell ref="M22:M23"/>
    <mergeCell ref="N22:N23"/>
    <mergeCell ref="O22:O23"/>
    <mergeCell ref="P22:P23"/>
    <mergeCell ref="Q22:Q23"/>
    <mergeCell ref="K22:K23"/>
    <mergeCell ref="L22:L23"/>
    <mergeCell ref="M26:M27"/>
    <mergeCell ref="N26:N27"/>
    <mergeCell ref="O26:O27"/>
    <mergeCell ref="P26:P27"/>
    <mergeCell ref="Q26:Q27"/>
    <mergeCell ref="K26:K27"/>
    <mergeCell ref="L26:L27"/>
    <mergeCell ref="B31:B32"/>
    <mergeCell ref="C31:C32"/>
    <mergeCell ref="D31:D32"/>
    <mergeCell ref="E31:E32"/>
    <mergeCell ref="F31:F32"/>
    <mergeCell ref="G28:G29"/>
    <mergeCell ref="H28:H29"/>
    <mergeCell ref="I28:I29"/>
    <mergeCell ref="J28:J29"/>
    <mergeCell ref="B28:B29"/>
    <mergeCell ref="C28:C29"/>
    <mergeCell ref="D28:D29"/>
    <mergeCell ref="E28:E29"/>
    <mergeCell ref="F28:F29"/>
    <mergeCell ref="G31:G32"/>
    <mergeCell ref="H31:H32"/>
    <mergeCell ref="I31:I32"/>
    <mergeCell ref="J31:J32"/>
    <mergeCell ref="M28:M29"/>
    <mergeCell ref="N28:N29"/>
    <mergeCell ref="O28:O29"/>
    <mergeCell ref="P28:P29"/>
    <mergeCell ref="Q28:Q29"/>
    <mergeCell ref="K28:K29"/>
    <mergeCell ref="L28:L29"/>
    <mergeCell ref="M31:M32"/>
    <mergeCell ref="N31:N32"/>
    <mergeCell ref="O31:O32"/>
    <mergeCell ref="P31:P32"/>
    <mergeCell ref="Q31:Q32"/>
    <mergeCell ref="K31:K32"/>
    <mergeCell ref="L31:L32"/>
    <mergeCell ref="M33:M34"/>
    <mergeCell ref="N33:N34"/>
    <mergeCell ref="O33:O34"/>
    <mergeCell ref="P33:P34"/>
    <mergeCell ref="Q33:Q34"/>
    <mergeCell ref="B37:B38"/>
    <mergeCell ref="C37:C38"/>
    <mergeCell ref="D37:D38"/>
    <mergeCell ref="E37:E38"/>
    <mergeCell ref="F37:F38"/>
    <mergeCell ref="G33:G34"/>
    <mergeCell ref="H33:H34"/>
    <mergeCell ref="I33:I34"/>
    <mergeCell ref="J33:J34"/>
    <mergeCell ref="K33:K34"/>
    <mergeCell ref="L33:L34"/>
    <mergeCell ref="B33:B34"/>
    <mergeCell ref="C33:C34"/>
    <mergeCell ref="D33:D34"/>
    <mergeCell ref="E33:E34"/>
    <mergeCell ref="F33:F34"/>
    <mergeCell ref="A41:P41"/>
    <mergeCell ref="A42:P42"/>
    <mergeCell ref="A43:P43"/>
    <mergeCell ref="M37:M38"/>
    <mergeCell ref="N37:N38"/>
    <mergeCell ref="O37:O38"/>
    <mergeCell ref="P37:P38"/>
    <mergeCell ref="Q37:Q38"/>
    <mergeCell ref="A40:P40"/>
    <mergeCell ref="G37:G38"/>
    <mergeCell ref="H37:H38"/>
    <mergeCell ref="I37:I38"/>
    <mergeCell ref="J37:J38"/>
    <mergeCell ref="K37:K38"/>
    <mergeCell ref="L37:L38"/>
  </mergeCells>
  <pageMargins left="0.7" right="0.7" top="0.78740157499999996" bottom="0.78740157499999996" header="0.3" footer="0.3"/>
  <pageSetup paperSize="9"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Q43"/>
  <sheetViews>
    <sheetView workbookViewId="0">
      <selection sqref="A1:P1"/>
    </sheetView>
  </sheetViews>
  <sheetFormatPr baseColWidth="10" defaultRowHeight="15" x14ac:dyDescent="0.25"/>
  <cols>
    <col min="1" max="1" width="35.7109375" style="51" customWidth="1"/>
    <col min="2" max="2" width="5.7109375" style="51" customWidth="1"/>
    <col min="3" max="14" width="7.140625" style="51" customWidth="1"/>
    <col min="15" max="15" width="7.85546875" style="51" bestFit="1" customWidth="1"/>
    <col min="16" max="16" width="5.7109375" style="51" bestFit="1" customWidth="1"/>
  </cols>
  <sheetData>
    <row r="1" spans="1:17" ht="15" customHeight="1" x14ac:dyDescent="0.25">
      <c r="A1" s="63" t="s">
        <v>380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7" ht="15" customHeight="1" x14ac:dyDescent="0.25">
      <c r="A2" s="95"/>
      <c r="B2" s="95"/>
      <c r="C2" s="95"/>
      <c r="D2" s="95"/>
      <c r="E2" s="103" t="s">
        <v>390</v>
      </c>
      <c r="F2" s="103"/>
      <c r="G2" s="103"/>
      <c r="H2" s="103"/>
      <c r="I2" s="103"/>
      <c r="J2" s="103"/>
      <c r="K2" s="103"/>
      <c r="L2" s="98" t="s">
        <v>363</v>
      </c>
      <c r="M2" s="98"/>
      <c r="N2" s="98"/>
      <c r="O2" s="98"/>
      <c r="P2" s="98"/>
    </row>
    <row r="3" spans="1:17" ht="15.75" customHeight="1" thickBot="1" x14ac:dyDescent="0.3">
      <c r="A3" s="96"/>
      <c r="B3" s="96"/>
      <c r="C3" s="96"/>
      <c r="D3" s="96"/>
      <c r="E3" s="106" t="s">
        <v>364</v>
      </c>
      <c r="F3" s="106"/>
      <c r="G3" s="106"/>
      <c r="H3" s="106"/>
      <c r="I3" s="106"/>
      <c r="J3" s="106"/>
      <c r="K3" s="106"/>
      <c r="L3" s="99"/>
      <c r="M3" s="99"/>
      <c r="N3" s="99"/>
      <c r="O3" s="99"/>
      <c r="P3" s="99"/>
    </row>
    <row r="4" spans="1:17" ht="15.75" customHeight="1" thickTop="1" x14ac:dyDescent="0.25">
      <c r="A4" s="65" t="s">
        <v>312</v>
      </c>
      <c r="B4" s="36" t="s">
        <v>313</v>
      </c>
      <c r="C4" s="67" t="s">
        <v>38</v>
      </c>
      <c r="D4" s="68"/>
      <c r="E4" s="68"/>
      <c r="F4" s="68"/>
      <c r="G4" s="68"/>
      <c r="H4" s="68"/>
      <c r="I4" s="68"/>
      <c r="J4" s="68"/>
      <c r="K4" s="68"/>
      <c r="L4" s="68"/>
      <c r="M4" s="65"/>
      <c r="N4" s="67"/>
      <c r="O4" s="68"/>
      <c r="P4" s="68"/>
    </row>
    <row r="5" spans="1:17" x14ac:dyDescent="0.25">
      <c r="A5" s="86"/>
      <c r="B5" s="41" t="s">
        <v>316</v>
      </c>
      <c r="C5" s="101"/>
      <c r="D5" s="102"/>
      <c r="E5" s="102"/>
      <c r="F5" s="102"/>
      <c r="G5" s="102"/>
      <c r="H5" s="102"/>
      <c r="I5" s="102"/>
      <c r="J5" s="102"/>
      <c r="K5" s="102"/>
      <c r="L5" s="102"/>
      <c r="M5" s="86"/>
      <c r="N5" s="101"/>
      <c r="O5" s="102"/>
      <c r="P5" s="102"/>
    </row>
    <row r="6" spans="1:17" ht="24" customHeight="1" x14ac:dyDescent="0.25">
      <c r="A6" s="86"/>
      <c r="B6" s="41" t="s">
        <v>320</v>
      </c>
      <c r="C6" s="101" t="s">
        <v>365</v>
      </c>
      <c r="D6" s="86"/>
      <c r="E6" s="101" t="s">
        <v>366</v>
      </c>
      <c r="F6" s="86"/>
      <c r="G6" s="101" t="s">
        <v>367</v>
      </c>
      <c r="H6" s="86"/>
      <c r="I6" s="101" t="s">
        <v>368</v>
      </c>
      <c r="J6" s="86"/>
      <c r="K6" s="101" t="s">
        <v>369</v>
      </c>
      <c r="L6" s="103"/>
      <c r="M6" s="86"/>
      <c r="N6" s="101" t="s">
        <v>40</v>
      </c>
      <c r="O6" s="103"/>
      <c r="P6" s="103"/>
    </row>
    <row r="7" spans="1:17" ht="36" customHeight="1" x14ac:dyDescent="0.25">
      <c r="A7" s="86"/>
      <c r="B7" s="41" t="s">
        <v>323</v>
      </c>
      <c r="C7" s="101" t="s">
        <v>370</v>
      </c>
      <c r="D7" s="86"/>
      <c r="E7" s="101"/>
      <c r="F7" s="86"/>
      <c r="G7" s="101" t="s">
        <v>371</v>
      </c>
      <c r="H7" s="86"/>
      <c r="I7" s="101" t="s">
        <v>372</v>
      </c>
      <c r="J7" s="86"/>
      <c r="K7" s="101"/>
      <c r="L7" s="103"/>
      <c r="M7" s="86"/>
      <c r="N7" s="101"/>
      <c r="O7" s="103"/>
      <c r="P7" s="103"/>
    </row>
    <row r="8" spans="1:17" ht="36" customHeight="1" x14ac:dyDescent="0.25">
      <c r="A8" s="86"/>
      <c r="B8" s="41"/>
      <c r="C8" s="101"/>
      <c r="D8" s="86"/>
      <c r="E8" s="101"/>
      <c r="F8" s="86"/>
      <c r="G8" s="101" t="s">
        <v>373</v>
      </c>
      <c r="H8" s="86"/>
      <c r="I8" s="101"/>
      <c r="J8" s="86"/>
      <c r="K8" s="101"/>
      <c r="L8" s="103"/>
      <c r="M8" s="86"/>
      <c r="N8" s="101"/>
      <c r="O8" s="103"/>
      <c r="P8" s="103"/>
    </row>
    <row r="9" spans="1:17" x14ac:dyDescent="0.25">
      <c r="A9" s="86"/>
      <c r="B9" s="41"/>
      <c r="C9" s="104" t="s">
        <v>325</v>
      </c>
      <c r="D9" s="41" t="s">
        <v>326</v>
      </c>
      <c r="E9" s="104" t="s">
        <v>325</v>
      </c>
      <c r="F9" s="41" t="s">
        <v>326</v>
      </c>
      <c r="G9" s="104" t="s">
        <v>325</v>
      </c>
      <c r="H9" s="41" t="s">
        <v>326</v>
      </c>
      <c r="I9" s="104" t="s">
        <v>325</v>
      </c>
      <c r="J9" s="41" t="s">
        <v>326</v>
      </c>
      <c r="K9" s="104" t="s">
        <v>325</v>
      </c>
      <c r="L9" s="41" t="s">
        <v>326</v>
      </c>
      <c r="M9" s="41" t="s">
        <v>327</v>
      </c>
      <c r="N9" s="104" t="s">
        <v>325</v>
      </c>
      <c r="O9" s="41" t="s">
        <v>326</v>
      </c>
      <c r="P9" s="42" t="s">
        <v>327</v>
      </c>
    </row>
    <row r="10" spans="1:17" ht="24.75" thickBot="1" x14ac:dyDescent="0.3">
      <c r="A10" s="66"/>
      <c r="B10" s="37"/>
      <c r="C10" s="83"/>
      <c r="D10" s="37" t="s">
        <v>374</v>
      </c>
      <c r="E10" s="83"/>
      <c r="F10" s="37" t="s">
        <v>374</v>
      </c>
      <c r="G10" s="83"/>
      <c r="H10" s="37" t="s">
        <v>374</v>
      </c>
      <c r="I10" s="83"/>
      <c r="J10" s="37" t="s">
        <v>374</v>
      </c>
      <c r="K10" s="83"/>
      <c r="L10" s="37" t="s">
        <v>374</v>
      </c>
      <c r="M10" s="37" t="s">
        <v>331</v>
      </c>
      <c r="N10" s="83"/>
      <c r="O10" s="37" t="s">
        <v>374</v>
      </c>
      <c r="P10" s="6" t="s">
        <v>331</v>
      </c>
    </row>
    <row r="11" spans="1:17" ht="15.75" thickBot="1" x14ac:dyDescent="0.3">
      <c r="A11" s="37">
        <v>1</v>
      </c>
      <c r="B11" s="37">
        <v>2</v>
      </c>
      <c r="C11" s="37">
        <v>3</v>
      </c>
      <c r="D11" s="37">
        <v>4</v>
      </c>
      <c r="E11" s="37">
        <v>5</v>
      </c>
      <c r="F11" s="37">
        <v>6</v>
      </c>
      <c r="G11" s="37">
        <v>7</v>
      </c>
      <c r="H11" s="37">
        <v>8</v>
      </c>
      <c r="I11" s="37">
        <v>9</v>
      </c>
      <c r="J11" s="37">
        <v>10</v>
      </c>
      <c r="K11" s="37">
        <v>11</v>
      </c>
      <c r="L11" s="37">
        <v>12</v>
      </c>
      <c r="M11" s="37">
        <v>13</v>
      </c>
      <c r="N11" s="37">
        <v>14</v>
      </c>
      <c r="O11" s="37">
        <v>15</v>
      </c>
      <c r="P11" s="6">
        <v>16</v>
      </c>
    </row>
    <row r="12" spans="1:17" x14ac:dyDescent="0.25">
      <c r="A12" s="17" t="s">
        <v>333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  <c r="Q12" s="30"/>
    </row>
    <row r="13" spans="1:17" x14ac:dyDescent="0.25">
      <c r="A13" s="17" t="s">
        <v>334</v>
      </c>
      <c r="B13" s="70">
        <v>76</v>
      </c>
      <c r="C13" s="70">
        <v>214</v>
      </c>
      <c r="D13" s="71">
        <v>1878</v>
      </c>
      <c r="E13" s="70">
        <v>771</v>
      </c>
      <c r="F13" s="71">
        <v>21562</v>
      </c>
      <c r="G13" s="70">
        <v>230</v>
      </c>
      <c r="H13" s="71">
        <v>5805</v>
      </c>
      <c r="I13" s="70">
        <v>3</v>
      </c>
      <c r="J13" s="70">
        <v>86</v>
      </c>
      <c r="K13" s="71">
        <v>1511</v>
      </c>
      <c r="L13" s="71">
        <v>38867</v>
      </c>
      <c r="M13" s="71">
        <v>1270</v>
      </c>
      <c r="N13" s="71">
        <v>13217</v>
      </c>
      <c r="O13" s="71">
        <v>315415</v>
      </c>
      <c r="P13" s="94">
        <v>8637</v>
      </c>
      <c r="Q13" s="57"/>
    </row>
    <row r="14" spans="1:17" x14ac:dyDescent="0.25">
      <c r="A14" s="17" t="s">
        <v>375</v>
      </c>
      <c r="B14" s="70"/>
      <c r="C14" s="70"/>
      <c r="D14" s="71"/>
      <c r="E14" s="70"/>
      <c r="F14" s="71"/>
      <c r="G14" s="70"/>
      <c r="H14" s="71"/>
      <c r="I14" s="70"/>
      <c r="J14" s="70"/>
      <c r="K14" s="71"/>
      <c r="L14" s="71"/>
      <c r="M14" s="71"/>
      <c r="N14" s="71"/>
      <c r="O14" s="71"/>
      <c r="P14" s="94"/>
      <c r="Q14" s="57"/>
    </row>
    <row r="15" spans="1:17" x14ac:dyDescent="0.25">
      <c r="A15" s="17" t="s">
        <v>336</v>
      </c>
      <c r="B15" s="15">
        <v>77</v>
      </c>
      <c r="C15" s="15">
        <v>12</v>
      </c>
      <c r="D15" s="15">
        <v>801</v>
      </c>
      <c r="E15" s="15">
        <v>392</v>
      </c>
      <c r="F15" s="14">
        <v>39413</v>
      </c>
      <c r="G15" s="15">
        <v>91</v>
      </c>
      <c r="H15" s="14">
        <v>9395</v>
      </c>
      <c r="I15" s="15">
        <v>54</v>
      </c>
      <c r="J15" s="14">
        <v>5820</v>
      </c>
      <c r="K15" s="15">
        <v>610</v>
      </c>
      <c r="L15" s="14">
        <v>115113</v>
      </c>
      <c r="M15" s="15">
        <v>276</v>
      </c>
      <c r="N15" s="14">
        <v>8055</v>
      </c>
      <c r="O15" s="14">
        <v>870142</v>
      </c>
      <c r="P15" s="18">
        <v>3497</v>
      </c>
      <c r="Q15" s="30"/>
    </row>
    <row r="16" spans="1:17" x14ac:dyDescent="0.25">
      <c r="A16" s="17" t="s">
        <v>337</v>
      </c>
      <c r="B16" s="15">
        <v>75</v>
      </c>
      <c r="C16" s="15">
        <v>88</v>
      </c>
      <c r="D16" s="14">
        <v>2813</v>
      </c>
      <c r="E16" s="15">
        <v>325</v>
      </c>
      <c r="F16" s="14">
        <v>8147</v>
      </c>
      <c r="G16" s="15">
        <v>267</v>
      </c>
      <c r="H16" s="14">
        <v>9468</v>
      </c>
      <c r="I16" s="15">
        <v>1</v>
      </c>
      <c r="J16" s="15">
        <v>320</v>
      </c>
      <c r="K16" s="15">
        <v>931</v>
      </c>
      <c r="L16" s="14">
        <v>27694</v>
      </c>
      <c r="M16" s="14">
        <v>1259</v>
      </c>
      <c r="N16" s="14">
        <v>13172</v>
      </c>
      <c r="O16" s="14">
        <v>341483</v>
      </c>
      <c r="P16" s="18">
        <v>11700</v>
      </c>
      <c r="Q16" s="30"/>
    </row>
    <row r="17" spans="1:17" x14ac:dyDescent="0.25">
      <c r="A17" s="17" t="s">
        <v>338</v>
      </c>
      <c r="B17" s="15">
        <v>67</v>
      </c>
      <c r="C17" s="15">
        <v>4</v>
      </c>
      <c r="D17" s="15">
        <v>714</v>
      </c>
      <c r="E17" s="15">
        <v>47</v>
      </c>
      <c r="F17" s="14">
        <v>8085</v>
      </c>
      <c r="G17" s="15">
        <v>103</v>
      </c>
      <c r="H17" s="14">
        <v>19100</v>
      </c>
      <c r="I17" s="15">
        <v>75</v>
      </c>
      <c r="J17" s="14">
        <v>12420</v>
      </c>
      <c r="K17" s="15">
        <v>424</v>
      </c>
      <c r="L17" s="14">
        <v>66349</v>
      </c>
      <c r="M17" s="15">
        <v>427</v>
      </c>
      <c r="N17" s="14">
        <v>5466</v>
      </c>
      <c r="O17" s="14">
        <v>916950</v>
      </c>
      <c r="P17" s="18">
        <v>5414</v>
      </c>
      <c r="Q17" s="30"/>
    </row>
    <row r="18" spans="1:17" x14ac:dyDescent="0.25">
      <c r="A18" s="17" t="s">
        <v>339</v>
      </c>
      <c r="B18" s="15">
        <v>30</v>
      </c>
      <c r="C18" s="15">
        <v>2</v>
      </c>
      <c r="D18" s="15">
        <v>185</v>
      </c>
      <c r="E18" s="15">
        <v>0</v>
      </c>
      <c r="F18" s="15">
        <v>15</v>
      </c>
      <c r="G18" s="15">
        <v>6</v>
      </c>
      <c r="H18" s="15">
        <v>753</v>
      </c>
      <c r="I18" s="15">
        <v>0</v>
      </c>
      <c r="J18" s="15">
        <v>4</v>
      </c>
      <c r="K18" s="15">
        <v>12</v>
      </c>
      <c r="L18" s="14">
        <v>1260</v>
      </c>
      <c r="M18" s="15">
        <v>9</v>
      </c>
      <c r="N18" s="15">
        <v>243</v>
      </c>
      <c r="O18" s="14">
        <v>29381</v>
      </c>
      <c r="P18" s="16">
        <v>175</v>
      </c>
      <c r="Q18" s="30"/>
    </row>
    <row r="19" spans="1:17" x14ac:dyDescent="0.25">
      <c r="A19" s="17" t="s">
        <v>340</v>
      </c>
      <c r="B19" s="15">
        <v>25</v>
      </c>
      <c r="C19" s="15">
        <v>29</v>
      </c>
      <c r="D19" s="15">
        <v>114</v>
      </c>
      <c r="E19" s="15">
        <v>17</v>
      </c>
      <c r="F19" s="15">
        <v>120</v>
      </c>
      <c r="G19" s="15">
        <v>10</v>
      </c>
      <c r="H19" s="15">
        <v>89</v>
      </c>
      <c r="I19" s="15">
        <v>8</v>
      </c>
      <c r="J19" s="15">
        <v>88</v>
      </c>
      <c r="K19" s="15">
        <v>65</v>
      </c>
      <c r="L19" s="15">
        <v>430</v>
      </c>
      <c r="M19" s="15">
        <v>30</v>
      </c>
      <c r="N19" s="15">
        <v>717</v>
      </c>
      <c r="O19" s="14">
        <v>5084</v>
      </c>
      <c r="P19" s="16">
        <v>250</v>
      </c>
      <c r="Q19" s="30"/>
    </row>
    <row r="20" spans="1:17" x14ac:dyDescent="0.25">
      <c r="A20" s="17" t="s">
        <v>337</v>
      </c>
      <c r="B20" s="70">
        <v>63</v>
      </c>
      <c r="C20" s="70">
        <v>14</v>
      </c>
      <c r="D20" s="70">
        <v>104</v>
      </c>
      <c r="E20" s="70">
        <v>35</v>
      </c>
      <c r="F20" s="70">
        <v>112</v>
      </c>
      <c r="G20" s="70">
        <v>89</v>
      </c>
      <c r="H20" s="71">
        <v>1739</v>
      </c>
      <c r="I20" s="70">
        <v>2</v>
      </c>
      <c r="J20" s="70">
        <v>57</v>
      </c>
      <c r="K20" s="70">
        <v>228</v>
      </c>
      <c r="L20" s="71">
        <v>3404</v>
      </c>
      <c r="M20" s="70">
        <v>239</v>
      </c>
      <c r="N20" s="71">
        <v>5323</v>
      </c>
      <c r="O20" s="71">
        <v>66526</v>
      </c>
      <c r="P20" s="94">
        <v>2539</v>
      </c>
      <c r="Q20" s="57"/>
    </row>
    <row r="21" spans="1:17" x14ac:dyDescent="0.25">
      <c r="A21" s="17" t="s">
        <v>341</v>
      </c>
      <c r="B21" s="70"/>
      <c r="C21" s="70"/>
      <c r="D21" s="70"/>
      <c r="E21" s="70"/>
      <c r="F21" s="70"/>
      <c r="G21" s="70"/>
      <c r="H21" s="71"/>
      <c r="I21" s="70"/>
      <c r="J21" s="70"/>
      <c r="K21" s="70"/>
      <c r="L21" s="71"/>
      <c r="M21" s="70"/>
      <c r="N21" s="71"/>
      <c r="O21" s="71"/>
      <c r="P21" s="94"/>
      <c r="Q21" s="57"/>
    </row>
    <row r="22" spans="1:17" x14ac:dyDescent="0.25">
      <c r="A22" s="17" t="s">
        <v>376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6"/>
      <c r="Q22" s="30"/>
    </row>
    <row r="23" spans="1:17" x14ac:dyDescent="0.25">
      <c r="A23" s="17" t="s">
        <v>343</v>
      </c>
      <c r="B23" s="70">
        <v>64</v>
      </c>
      <c r="C23" s="70">
        <v>96</v>
      </c>
      <c r="D23" s="70">
        <v>403</v>
      </c>
      <c r="E23" s="70">
        <v>151</v>
      </c>
      <c r="F23" s="71">
        <v>5136</v>
      </c>
      <c r="G23" s="70">
        <v>29</v>
      </c>
      <c r="H23" s="70">
        <v>980</v>
      </c>
      <c r="I23" s="70">
        <v>5</v>
      </c>
      <c r="J23" s="70">
        <v>326</v>
      </c>
      <c r="K23" s="70">
        <v>318</v>
      </c>
      <c r="L23" s="71">
        <v>8179</v>
      </c>
      <c r="M23" s="70">
        <v>167</v>
      </c>
      <c r="N23" s="71">
        <v>3970</v>
      </c>
      <c r="O23" s="71">
        <v>83598</v>
      </c>
      <c r="P23" s="94">
        <v>1414</v>
      </c>
      <c r="Q23" s="57"/>
    </row>
    <row r="24" spans="1:17" x14ac:dyDescent="0.25">
      <c r="A24" s="17" t="s">
        <v>344</v>
      </c>
      <c r="B24" s="70"/>
      <c r="C24" s="70"/>
      <c r="D24" s="70"/>
      <c r="E24" s="70"/>
      <c r="F24" s="71"/>
      <c r="G24" s="70"/>
      <c r="H24" s="70"/>
      <c r="I24" s="70"/>
      <c r="J24" s="70"/>
      <c r="K24" s="70"/>
      <c r="L24" s="71"/>
      <c r="M24" s="70"/>
      <c r="N24" s="71"/>
      <c r="O24" s="71"/>
      <c r="P24" s="94"/>
      <c r="Q24" s="57"/>
    </row>
    <row r="25" spans="1:17" x14ac:dyDescent="0.25">
      <c r="A25" s="17" t="s">
        <v>345</v>
      </c>
      <c r="B25" s="15">
        <v>36</v>
      </c>
      <c r="C25" s="15">
        <v>2</v>
      </c>
      <c r="D25" s="15">
        <v>21</v>
      </c>
      <c r="E25" s="15">
        <v>113</v>
      </c>
      <c r="F25" s="14">
        <v>1610</v>
      </c>
      <c r="G25" s="15">
        <v>0</v>
      </c>
      <c r="H25" s="15">
        <v>5</v>
      </c>
      <c r="I25" s="15">
        <v>9</v>
      </c>
      <c r="J25" s="15">
        <v>286</v>
      </c>
      <c r="K25" s="15">
        <v>126</v>
      </c>
      <c r="L25" s="14">
        <v>1975</v>
      </c>
      <c r="M25" s="15">
        <v>13</v>
      </c>
      <c r="N25" s="15">
        <v>598</v>
      </c>
      <c r="O25" s="14">
        <v>13560</v>
      </c>
      <c r="P25" s="16">
        <v>84</v>
      </c>
      <c r="Q25" s="30"/>
    </row>
    <row r="26" spans="1:17" x14ac:dyDescent="0.25">
      <c r="A26" s="17" t="s">
        <v>346</v>
      </c>
      <c r="B26" s="15">
        <v>31</v>
      </c>
      <c r="C26" s="15">
        <v>3</v>
      </c>
      <c r="D26" s="15">
        <v>93</v>
      </c>
      <c r="E26" s="15">
        <v>158</v>
      </c>
      <c r="F26" s="14">
        <v>1669</v>
      </c>
      <c r="G26" s="15">
        <v>67</v>
      </c>
      <c r="H26" s="14">
        <v>1254</v>
      </c>
      <c r="I26" s="15">
        <v>4</v>
      </c>
      <c r="J26" s="15">
        <v>81</v>
      </c>
      <c r="K26" s="15">
        <v>283</v>
      </c>
      <c r="L26" s="14">
        <v>4201</v>
      </c>
      <c r="M26" s="15">
        <v>5</v>
      </c>
      <c r="N26" s="15">
        <v>972</v>
      </c>
      <c r="O26" s="14">
        <v>12777</v>
      </c>
      <c r="P26" s="16">
        <v>22</v>
      </c>
      <c r="Q26" s="30"/>
    </row>
    <row r="27" spans="1:17" x14ac:dyDescent="0.25">
      <c r="A27" s="17" t="s">
        <v>347</v>
      </c>
      <c r="B27" s="70">
        <v>68</v>
      </c>
      <c r="C27" s="70">
        <v>57</v>
      </c>
      <c r="D27" s="71">
        <v>1476</v>
      </c>
      <c r="E27" s="70">
        <v>102</v>
      </c>
      <c r="F27" s="71">
        <v>4246</v>
      </c>
      <c r="G27" s="70">
        <v>85</v>
      </c>
      <c r="H27" s="71">
        <v>6467</v>
      </c>
      <c r="I27" s="70">
        <v>9</v>
      </c>
      <c r="J27" s="71">
        <v>1142</v>
      </c>
      <c r="K27" s="70">
        <v>445</v>
      </c>
      <c r="L27" s="71">
        <v>20336</v>
      </c>
      <c r="M27" s="71">
        <v>1121</v>
      </c>
      <c r="N27" s="71">
        <v>7707</v>
      </c>
      <c r="O27" s="71">
        <v>260382</v>
      </c>
      <c r="P27" s="94">
        <v>7270</v>
      </c>
      <c r="Q27" s="57"/>
    </row>
    <row r="28" spans="1:17" x14ac:dyDescent="0.25">
      <c r="A28" s="17" t="s">
        <v>348</v>
      </c>
      <c r="B28" s="70"/>
      <c r="C28" s="70"/>
      <c r="D28" s="71"/>
      <c r="E28" s="70"/>
      <c r="F28" s="71"/>
      <c r="G28" s="70"/>
      <c r="H28" s="71"/>
      <c r="I28" s="70"/>
      <c r="J28" s="71"/>
      <c r="K28" s="70"/>
      <c r="L28" s="71"/>
      <c r="M28" s="71"/>
      <c r="N28" s="71"/>
      <c r="O28" s="71"/>
      <c r="P28" s="94"/>
      <c r="Q28" s="57"/>
    </row>
    <row r="29" spans="1:17" x14ac:dyDescent="0.25">
      <c r="A29" s="17" t="s">
        <v>337</v>
      </c>
      <c r="B29" s="70">
        <v>45</v>
      </c>
      <c r="C29" s="70">
        <v>0</v>
      </c>
      <c r="D29" s="70">
        <v>4</v>
      </c>
      <c r="E29" s="70">
        <v>2</v>
      </c>
      <c r="F29" s="70">
        <v>26</v>
      </c>
      <c r="G29" s="70">
        <v>3</v>
      </c>
      <c r="H29" s="70">
        <v>53</v>
      </c>
      <c r="I29" s="70">
        <v>0</v>
      </c>
      <c r="J29" s="70">
        <v>2</v>
      </c>
      <c r="K29" s="70">
        <v>8</v>
      </c>
      <c r="L29" s="70">
        <v>148</v>
      </c>
      <c r="M29" s="70">
        <v>10</v>
      </c>
      <c r="N29" s="70">
        <v>200</v>
      </c>
      <c r="O29" s="71">
        <v>2919</v>
      </c>
      <c r="P29" s="72">
        <v>96</v>
      </c>
      <c r="Q29" s="57"/>
    </row>
    <row r="30" spans="1:17" x14ac:dyDescent="0.25">
      <c r="A30" s="17" t="s">
        <v>341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1"/>
      <c r="P30" s="72"/>
      <c r="Q30" s="57"/>
    </row>
    <row r="31" spans="1:17" x14ac:dyDescent="0.25">
      <c r="A31" s="17" t="s">
        <v>349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6"/>
      <c r="Q31" s="30"/>
    </row>
    <row r="32" spans="1:17" x14ac:dyDescent="0.25">
      <c r="A32" s="17" t="s">
        <v>350</v>
      </c>
      <c r="B32" s="70">
        <v>71</v>
      </c>
      <c r="C32" s="70">
        <v>22</v>
      </c>
      <c r="D32" s="70">
        <v>662</v>
      </c>
      <c r="E32" s="70">
        <v>148</v>
      </c>
      <c r="F32" s="71">
        <v>3677</v>
      </c>
      <c r="G32" s="70">
        <v>392</v>
      </c>
      <c r="H32" s="71">
        <v>21265</v>
      </c>
      <c r="I32" s="70">
        <v>7</v>
      </c>
      <c r="J32" s="71">
        <v>1042</v>
      </c>
      <c r="K32" s="71">
        <v>1032</v>
      </c>
      <c r="L32" s="71">
        <v>40837</v>
      </c>
      <c r="M32" s="71">
        <v>1423</v>
      </c>
      <c r="N32" s="71">
        <v>13163</v>
      </c>
      <c r="O32" s="71">
        <v>455430</v>
      </c>
      <c r="P32" s="94">
        <v>14609</v>
      </c>
      <c r="Q32" s="57"/>
    </row>
    <row r="33" spans="1:17" x14ac:dyDescent="0.25">
      <c r="A33" s="17" t="s">
        <v>351</v>
      </c>
      <c r="B33" s="70"/>
      <c r="C33" s="70"/>
      <c r="D33" s="70"/>
      <c r="E33" s="70"/>
      <c r="F33" s="71"/>
      <c r="G33" s="70"/>
      <c r="H33" s="71"/>
      <c r="I33" s="70"/>
      <c r="J33" s="71"/>
      <c r="K33" s="71"/>
      <c r="L33" s="71"/>
      <c r="M33" s="71"/>
      <c r="N33" s="71"/>
      <c r="O33" s="71"/>
      <c r="P33" s="94"/>
      <c r="Q33" s="57"/>
    </row>
    <row r="34" spans="1:17" x14ac:dyDescent="0.25">
      <c r="A34" s="17" t="s">
        <v>352</v>
      </c>
      <c r="B34" s="70">
        <v>23</v>
      </c>
      <c r="C34" s="70">
        <v>13</v>
      </c>
      <c r="D34" s="70">
        <v>197</v>
      </c>
      <c r="E34" s="70">
        <v>460</v>
      </c>
      <c r="F34" s="71">
        <v>10129</v>
      </c>
      <c r="G34" s="70">
        <v>408</v>
      </c>
      <c r="H34" s="71">
        <v>6246</v>
      </c>
      <c r="I34" s="70">
        <v>4</v>
      </c>
      <c r="J34" s="70">
        <v>234</v>
      </c>
      <c r="K34" s="70">
        <v>908</v>
      </c>
      <c r="L34" s="71">
        <v>19121</v>
      </c>
      <c r="M34" s="70">
        <v>61</v>
      </c>
      <c r="N34" s="71">
        <v>3847</v>
      </c>
      <c r="O34" s="71">
        <v>50262</v>
      </c>
      <c r="P34" s="72">
        <v>89</v>
      </c>
      <c r="Q34" s="57"/>
    </row>
    <row r="35" spans="1:17" x14ac:dyDescent="0.25">
      <c r="A35" s="17" t="s">
        <v>353</v>
      </c>
      <c r="B35" s="70"/>
      <c r="C35" s="70"/>
      <c r="D35" s="70"/>
      <c r="E35" s="70"/>
      <c r="F35" s="71"/>
      <c r="G35" s="70"/>
      <c r="H35" s="71"/>
      <c r="I35" s="70"/>
      <c r="J35" s="70"/>
      <c r="K35" s="70"/>
      <c r="L35" s="71"/>
      <c r="M35" s="70"/>
      <c r="N35" s="71"/>
      <c r="O35" s="71"/>
      <c r="P35" s="72"/>
      <c r="Q35" s="57"/>
    </row>
    <row r="36" spans="1:17" x14ac:dyDescent="0.25">
      <c r="A36" s="17" t="s">
        <v>354</v>
      </c>
      <c r="B36" s="15" t="s">
        <v>46</v>
      </c>
      <c r="C36" s="15" t="s">
        <v>46</v>
      </c>
      <c r="D36" s="15" t="s">
        <v>46</v>
      </c>
      <c r="E36" s="15" t="s">
        <v>46</v>
      </c>
      <c r="F36" s="15" t="s">
        <v>46</v>
      </c>
      <c r="G36" s="15" t="s">
        <v>46</v>
      </c>
      <c r="H36" s="15" t="s">
        <v>46</v>
      </c>
      <c r="I36" s="15" t="s">
        <v>46</v>
      </c>
      <c r="J36" s="15" t="s">
        <v>46</v>
      </c>
      <c r="K36" s="15" t="s">
        <v>46</v>
      </c>
      <c r="L36" s="15" t="s">
        <v>46</v>
      </c>
      <c r="M36" s="15" t="s">
        <v>46</v>
      </c>
      <c r="N36" s="15" t="s">
        <v>46</v>
      </c>
      <c r="O36" s="15" t="s">
        <v>46</v>
      </c>
      <c r="P36" s="16" t="s">
        <v>46</v>
      </c>
      <c r="Q36" s="30"/>
    </row>
    <row r="37" spans="1:17" x14ac:dyDescent="0.25">
      <c r="A37" s="17" t="s">
        <v>355</v>
      </c>
      <c r="B37" s="15">
        <v>29</v>
      </c>
      <c r="C37" s="15">
        <v>1</v>
      </c>
      <c r="D37" s="15">
        <v>8</v>
      </c>
      <c r="E37" s="15">
        <v>46</v>
      </c>
      <c r="F37" s="14">
        <v>6330</v>
      </c>
      <c r="G37" s="15">
        <v>8</v>
      </c>
      <c r="H37" s="15">
        <v>584</v>
      </c>
      <c r="I37" s="15">
        <v>0</v>
      </c>
      <c r="J37" s="15">
        <v>484</v>
      </c>
      <c r="K37" s="15">
        <v>55</v>
      </c>
      <c r="L37" s="14">
        <v>7479</v>
      </c>
      <c r="M37" s="15">
        <v>229</v>
      </c>
      <c r="N37" s="15">
        <v>337</v>
      </c>
      <c r="O37" s="14">
        <v>30350</v>
      </c>
      <c r="P37" s="16">
        <v>358</v>
      </c>
      <c r="Q37" s="30"/>
    </row>
    <row r="38" spans="1:17" x14ac:dyDescent="0.25">
      <c r="A38" s="17" t="s">
        <v>356</v>
      </c>
      <c r="B38" s="70">
        <v>45</v>
      </c>
      <c r="C38" s="70">
        <v>5</v>
      </c>
      <c r="D38" s="70">
        <v>73</v>
      </c>
      <c r="E38" s="70">
        <v>25</v>
      </c>
      <c r="F38" s="70">
        <v>280</v>
      </c>
      <c r="G38" s="70">
        <v>109</v>
      </c>
      <c r="H38" s="71">
        <v>4692</v>
      </c>
      <c r="I38" s="70">
        <v>0</v>
      </c>
      <c r="J38" s="70">
        <v>124</v>
      </c>
      <c r="K38" s="70">
        <v>403</v>
      </c>
      <c r="L38" s="71">
        <v>8905</v>
      </c>
      <c r="M38" s="70">
        <v>287</v>
      </c>
      <c r="N38" s="71">
        <v>4355</v>
      </c>
      <c r="O38" s="71">
        <v>94596</v>
      </c>
      <c r="P38" s="94">
        <v>2843</v>
      </c>
      <c r="Q38" s="57"/>
    </row>
    <row r="39" spans="1:17" ht="15.75" thickBot="1" x14ac:dyDescent="0.3">
      <c r="A39" s="19" t="s">
        <v>357</v>
      </c>
      <c r="B39" s="90"/>
      <c r="C39" s="90"/>
      <c r="D39" s="90"/>
      <c r="E39" s="90"/>
      <c r="F39" s="90"/>
      <c r="G39" s="90"/>
      <c r="H39" s="91"/>
      <c r="I39" s="90"/>
      <c r="J39" s="90"/>
      <c r="K39" s="90"/>
      <c r="L39" s="91"/>
      <c r="M39" s="90"/>
      <c r="N39" s="91"/>
      <c r="O39" s="91"/>
      <c r="P39" s="105"/>
      <c r="Q39" s="57"/>
    </row>
    <row r="40" spans="1:17" ht="15.75" thickBot="1" x14ac:dyDescent="0.3">
      <c r="A40" s="19" t="s">
        <v>358</v>
      </c>
      <c r="B40" s="31"/>
      <c r="C40" s="31">
        <v>562</v>
      </c>
      <c r="D40" s="20">
        <v>9542</v>
      </c>
      <c r="E40" s="20">
        <v>2793</v>
      </c>
      <c r="F40" s="20">
        <v>110555</v>
      </c>
      <c r="G40" s="20">
        <v>1896</v>
      </c>
      <c r="H40" s="20">
        <v>87894</v>
      </c>
      <c r="I40" s="31">
        <v>182</v>
      </c>
      <c r="J40" s="20">
        <v>22516</v>
      </c>
      <c r="K40" s="20">
        <v>7359</v>
      </c>
      <c r="L40" s="20">
        <v>364300</v>
      </c>
      <c r="M40" s="20">
        <v>6825</v>
      </c>
      <c r="N40" s="20">
        <v>81341</v>
      </c>
      <c r="O40" s="20">
        <v>3548854</v>
      </c>
      <c r="P40" s="21">
        <v>58995</v>
      </c>
      <c r="Q40" s="30"/>
    </row>
    <row r="41" spans="1:17" ht="15" customHeight="1" x14ac:dyDescent="0.25">
      <c r="A41" s="93" t="s">
        <v>377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</row>
    <row r="42" spans="1:17" ht="15" customHeight="1" x14ac:dyDescent="0.25">
      <c r="A42" s="89" t="s">
        <v>378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</row>
    <row r="43" spans="1:17" ht="15" customHeight="1" x14ac:dyDescent="0.25">
      <c r="A43" s="89" t="s">
        <v>379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</row>
  </sheetData>
  <mergeCells count="157">
    <mergeCell ref="A1:P1"/>
    <mergeCell ref="A2:D3"/>
    <mergeCell ref="E2:K2"/>
    <mergeCell ref="L2:P3"/>
    <mergeCell ref="E3:K3"/>
    <mergeCell ref="A4:A10"/>
    <mergeCell ref="C4:M5"/>
    <mergeCell ref="N4:P5"/>
    <mergeCell ref="C6:D6"/>
    <mergeCell ref="E6:F8"/>
    <mergeCell ref="C9:C10"/>
    <mergeCell ref="E9:E10"/>
    <mergeCell ref="G9:G10"/>
    <mergeCell ref="I9:I10"/>
    <mergeCell ref="K9:K10"/>
    <mergeCell ref="N9:N10"/>
    <mergeCell ref="G6:H6"/>
    <mergeCell ref="I6:J6"/>
    <mergeCell ref="K6:M8"/>
    <mergeCell ref="N6:P8"/>
    <mergeCell ref="C7:D7"/>
    <mergeCell ref="G7:H7"/>
    <mergeCell ref="I7:J7"/>
    <mergeCell ref="C8:D8"/>
    <mergeCell ref="G8:H8"/>
    <mergeCell ref="I8:J8"/>
    <mergeCell ref="N13:N14"/>
    <mergeCell ref="O13:O14"/>
    <mergeCell ref="P13:P14"/>
    <mergeCell ref="Q13:Q14"/>
    <mergeCell ref="B20:B21"/>
    <mergeCell ref="C20:C21"/>
    <mergeCell ref="D20:D21"/>
    <mergeCell ref="E20:E21"/>
    <mergeCell ref="F20:F21"/>
    <mergeCell ref="G20:G21"/>
    <mergeCell ref="H13:H14"/>
    <mergeCell ref="I13:I14"/>
    <mergeCell ref="J13:J14"/>
    <mergeCell ref="K13:K14"/>
    <mergeCell ref="L13:L14"/>
    <mergeCell ref="M13:M14"/>
    <mergeCell ref="B13:B14"/>
    <mergeCell ref="C13:C14"/>
    <mergeCell ref="D13:D14"/>
    <mergeCell ref="E13:E14"/>
    <mergeCell ref="F13:F14"/>
    <mergeCell ref="G13:G14"/>
    <mergeCell ref="O20:O21"/>
    <mergeCell ref="P20:P21"/>
    <mergeCell ref="Q20:Q21"/>
    <mergeCell ref="B23:B24"/>
    <mergeCell ref="C23:C24"/>
    <mergeCell ref="D23:D24"/>
    <mergeCell ref="E23:E24"/>
    <mergeCell ref="F23:F24"/>
    <mergeCell ref="G23:G24"/>
    <mergeCell ref="H20:H21"/>
    <mergeCell ref="I20:I21"/>
    <mergeCell ref="J20:J21"/>
    <mergeCell ref="K20:K21"/>
    <mergeCell ref="L20:L21"/>
    <mergeCell ref="M20:M21"/>
    <mergeCell ref="N23:N24"/>
    <mergeCell ref="O23:O24"/>
    <mergeCell ref="P23:P24"/>
    <mergeCell ref="Q23:Q24"/>
    <mergeCell ref="K23:K24"/>
    <mergeCell ref="L23:L24"/>
    <mergeCell ref="M23:M24"/>
    <mergeCell ref="D27:D28"/>
    <mergeCell ref="E27:E28"/>
    <mergeCell ref="F27:F28"/>
    <mergeCell ref="G27:G28"/>
    <mergeCell ref="H23:H24"/>
    <mergeCell ref="I23:I24"/>
    <mergeCell ref="J23:J24"/>
    <mergeCell ref="N20:N21"/>
    <mergeCell ref="N27:N28"/>
    <mergeCell ref="O27:O28"/>
    <mergeCell ref="P27:P28"/>
    <mergeCell ref="Q27:Q28"/>
    <mergeCell ref="B29:B30"/>
    <mergeCell ref="C29:C30"/>
    <mergeCell ref="D29:D30"/>
    <mergeCell ref="E29:E30"/>
    <mergeCell ref="F29:F30"/>
    <mergeCell ref="G29:G30"/>
    <mergeCell ref="H27:H28"/>
    <mergeCell ref="I27:I28"/>
    <mergeCell ref="J27:J28"/>
    <mergeCell ref="K27:K28"/>
    <mergeCell ref="L27:L28"/>
    <mergeCell ref="M27:M28"/>
    <mergeCell ref="N29:N30"/>
    <mergeCell ref="O29:O30"/>
    <mergeCell ref="P29:P30"/>
    <mergeCell ref="Q29:Q30"/>
    <mergeCell ref="K29:K30"/>
    <mergeCell ref="L29:L30"/>
    <mergeCell ref="M29:M30"/>
    <mergeCell ref="B27:B28"/>
    <mergeCell ref="C27:C28"/>
    <mergeCell ref="C32:C33"/>
    <mergeCell ref="D32:D33"/>
    <mergeCell ref="E32:E33"/>
    <mergeCell ref="F32:F33"/>
    <mergeCell ref="G32:G33"/>
    <mergeCell ref="H29:H30"/>
    <mergeCell ref="I29:I30"/>
    <mergeCell ref="J29:J30"/>
    <mergeCell ref="H34:H35"/>
    <mergeCell ref="I34:I35"/>
    <mergeCell ref="J34:J35"/>
    <mergeCell ref="N32:N33"/>
    <mergeCell ref="O32:O33"/>
    <mergeCell ref="P32:P33"/>
    <mergeCell ref="Q32:Q33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L32:L33"/>
    <mergeCell ref="M32:M33"/>
    <mergeCell ref="N34:N35"/>
    <mergeCell ref="O34:O35"/>
    <mergeCell ref="P34:P35"/>
    <mergeCell ref="Q34:Q35"/>
    <mergeCell ref="K34:K35"/>
    <mergeCell ref="L34:L35"/>
    <mergeCell ref="M34:M35"/>
    <mergeCell ref="B32:B33"/>
    <mergeCell ref="A43:P43"/>
    <mergeCell ref="N38:N39"/>
    <mergeCell ref="O38:O39"/>
    <mergeCell ref="P38:P39"/>
    <mergeCell ref="Q38:Q39"/>
    <mergeCell ref="A41:P41"/>
    <mergeCell ref="A42:P42"/>
    <mergeCell ref="H38:H39"/>
    <mergeCell ref="I38:I39"/>
    <mergeCell ref="J38:J39"/>
    <mergeCell ref="K38:K39"/>
    <mergeCell ref="L38:L39"/>
    <mergeCell ref="M38:M39"/>
    <mergeCell ref="B38:B39"/>
    <mergeCell ref="C38:C39"/>
    <mergeCell ref="D38:D39"/>
    <mergeCell ref="E38:E39"/>
    <mergeCell ref="F38:F39"/>
    <mergeCell ref="G38:G39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3"/>
  <sheetViews>
    <sheetView workbookViewId="0">
      <selection sqref="A1:O1"/>
    </sheetView>
  </sheetViews>
  <sheetFormatPr baseColWidth="10" defaultRowHeight="15" x14ac:dyDescent="0.25"/>
  <cols>
    <col min="1" max="1" width="2.7109375" bestFit="1" customWidth="1"/>
    <col min="2" max="2" width="4.42578125" bestFit="1" customWidth="1"/>
    <col min="3" max="3" width="21.7109375" bestFit="1" customWidth="1"/>
    <col min="4" max="4" width="8.5703125" bestFit="1" customWidth="1"/>
    <col min="5" max="5" width="8" bestFit="1" customWidth="1"/>
    <col min="6" max="6" width="10.42578125" bestFit="1" customWidth="1"/>
    <col min="7" max="7" width="7.85546875" bestFit="1" customWidth="1"/>
    <col min="8" max="8" width="8" bestFit="1" customWidth="1"/>
    <col min="9" max="10" width="8.42578125" bestFit="1" customWidth="1"/>
    <col min="11" max="11" width="11" bestFit="1" customWidth="1"/>
    <col min="12" max="12" width="7.28515625" bestFit="1" customWidth="1"/>
    <col min="13" max="13" width="9.28515625" bestFit="1" customWidth="1"/>
    <col min="14" max="14" width="7.5703125" bestFit="1" customWidth="1"/>
  </cols>
  <sheetData>
    <row r="1" spans="1:15" ht="15.75" x14ac:dyDescent="0.25">
      <c r="A1" s="121" t="s">
        <v>382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1:15" ht="15.75" thickBot="1" x14ac:dyDescent="0.3">
      <c r="A2" s="1"/>
      <c r="B2" s="48"/>
      <c r="C2" s="122" t="s">
        <v>182</v>
      </c>
      <c r="D2" s="122"/>
      <c r="E2" s="122"/>
      <c r="F2" s="122"/>
      <c r="G2" s="122"/>
      <c r="H2" s="122"/>
      <c r="I2" s="122"/>
      <c r="J2" s="122"/>
      <c r="K2" s="122"/>
      <c r="L2" s="122"/>
      <c r="M2" s="123" t="s">
        <v>183</v>
      </c>
      <c r="N2" s="123"/>
    </row>
    <row r="3" spans="1:15" ht="45.75" customHeight="1" thickTop="1" x14ac:dyDescent="0.25">
      <c r="A3" s="113" t="s">
        <v>384</v>
      </c>
      <c r="B3" s="114"/>
      <c r="C3" s="3"/>
      <c r="D3" s="46" t="s">
        <v>184</v>
      </c>
      <c r="E3" s="124" t="s">
        <v>185</v>
      </c>
      <c r="F3" s="113"/>
      <c r="G3" s="114"/>
      <c r="H3" s="124" t="s">
        <v>186</v>
      </c>
      <c r="I3" s="113"/>
      <c r="J3" s="114"/>
      <c r="K3" s="124" t="s">
        <v>187</v>
      </c>
      <c r="L3" s="114"/>
      <c r="M3" s="46" t="s">
        <v>188</v>
      </c>
      <c r="N3" s="45" t="s">
        <v>189</v>
      </c>
    </row>
    <row r="4" spans="1:15" x14ac:dyDescent="0.25">
      <c r="A4" s="115"/>
      <c r="B4" s="116"/>
      <c r="C4" s="47" t="s">
        <v>190</v>
      </c>
      <c r="D4" s="47" t="s">
        <v>191</v>
      </c>
      <c r="E4" s="125"/>
      <c r="F4" s="115"/>
      <c r="G4" s="116"/>
      <c r="H4" s="125"/>
      <c r="I4" s="115"/>
      <c r="J4" s="116"/>
      <c r="K4" s="125" t="s">
        <v>192</v>
      </c>
      <c r="L4" s="116"/>
      <c r="M4" s="47" t="s">
        <v>193</v>
      </c>
      <c r="N4" s="2" t="s">
        <v>194</v>
      </c>
    </row>
    <row r="5" spans="1:15" x14ac:dyDescent="0.25">
      <c r="A5" s="115"/>
      <c r="B5" s="116"/>
      <c r="C5" s="47"/>
      <c r="D5" s="47" t="s">
        <v>195</v>
      </c>
      <c r="E5" s="125"/>
      <c r="F5" s="115"/>
      <c r="G5" s="116"/>
      <c r="H5" s="125"/>
      <c r="I5" s="115"/>
      <c r="J5" s="116"/>
      <c r="K5" s="125"/>
      <c r="L5" s="116"/>
      <c r="M5" s="47" t="s">
        <v>196</v>
      </c>
      <c r="N5" s="2" t="s">
        <v>197</v>
      </c>
    </row>
    <row r="6" spans="1:15" x14ac:dyDescent="0.25">
      <c r="A6" s="115"/>
      <c r="B6" s="116"/>
      <c r="C6" s="47"/>
      <c r="D6" s="47"/>
      <c r="E6" s="47" t="s">
        <v>198</v>
      </c>
      <c r="F6" s="47" t="s">
        <v>199</v>
      </c>
      <c r="G6" s="47" t="s">
        <v>200</v>
      </c>
      <c r="H6" s="47" t="s">
        <v>198</v>
      </c>
      <c r="I6" s="47" t="s">
        <v>201</v>
      </c>
      <c r="J6" s="47" t="s">
        <v>202</v>
      </c>
      <c r="K6" s="47" t="s">
        <v>203</v>
      </c>
      <c r="L6" s="47" t="s">
        <v>204</v>
      </c>
      <c r="M6" s="47"/>
      <c r="N6" s="2"/>
    </row>
    <row r="7" spans="1:15" ht="24" x14ac:dyDescent="0.25">
      <c r="A7" s="115"/>
      <c r="B7" s="116"/>
      <c r="C7" s="47"/>
      <c r="D7" s="47"/>
      <c r="E7" s="47" t="s">
        <v>205</v>
      </c>
      <c r="F7" s="47" t="s">
        <v>206</v>
      </c>
      <c r="G7" s="47" t="s">
        <v>207</v>
      </c>
      <c r="H7" s="47" t="s">
        <v>205</v>
      </c>
      <c r="I7" s="47" t="s">
        <v>208</v>
      </c>
      <c r="J7" s="47" t="s">
        <v>209</v>
      </c>
      <c r="K7" s="47" t="s">
        <v>210</v>
      </c>
      <c r="L7" s="47" t="s">
        <v>211</v>
      </c>
      <c r="M7" s="47"/>
      <c r="N7" s="2"/>
    </row>
    <row r="8" spans="1:15" x14ac:dyDescent="0.25">
      <c r="A8" s="115"/>
      <c r="B8" s="116"/>
      <c r="C8" s="47"/>
      <c r="D8" s="47"/>
      <c r="E8" s="47" t="s">
        <v>212</v>
      </c>
      <c r="F8" s="47" t="s">
        <v>213</v>
      </c>
      <c r="G8" s="47"/>
      <c r="H8" s="47" t="s">
        <v>212</v>
      </c>
      <c r="I8" s="47"/>
      <c r="J8" s="47"/>
      <c r="K8" s="47"/>
      <c r="L8" s="47" t="s">
        <v>214</v>
      </c>
      <c r="M8" s="47"/>
      <c r="N8" s="2"/>
    </row>
    <row r="9" spans="1:15" ht="15.75" thickBot="1" x14ac:dyDescent="0.3">
      <c r="A9" s="117"/>
      <c r="B9" s="118"/>
      <c r="C9" s="4"/>
      <c r="D9" s="4" t="s">
        <v>41</v>
      </c>
      <c r="E9" s="4" t="s">
        <v>41</v>
      </c>
      <c r="F9" s="4" t="s">
        <v>41</v>
      </c>
      <c r="G9" s="4" t="s">
        <v>215</v>
      </c>
      <c r="H9" s="4" t="s">
        <v>41</v>
      </c>
      <c r="I9" s="4" t="s">
        <v>215</v>
      </c>
      <c r="J9" s="4" t="s">
        <v>215</v>
      </c>
      <c r="K9" s="4" t="s">
        <v>216</v>
      </c>
      <c r="L9" s="4" t="s">
        <v>216</v>
      </c>
      <c r="M9" s="4" t="s">
        <v>216</v>
      </c>
      <c r="N9" s="5" t="s">
        <v>216</v>
      </c>
    </row>
    <row r="10" spans="1:15" ht="15.75" thickBot="1" x14ac:dyDescent="0.3">
      <c r="A10" s="119">
        <v>1</v>
      </c>
      <c r="B10" s="120"/>
      <c r="C10" s="43">
        <v>2</v>
      </c>
      <c r="D10" s="43">
        <v>3</v>
      </c>
      <c r="E10" s="43">
        <v>4</v>
      </c>
      <c r="F10" s="43">
        <v>5</v>
      </c>
      <c r="G10" s="43">
        <v>6</v>
      </c>
      <c r="H10" s="43">
        <v>7</v>
      </c>
      <c r="I10" s="43">
        <v>8</v>
      </c>
      <c r="J10" s="43">
        <v>9</v>
      </c>
      <c r="K10" s="43">
        <v>10</v>
      </c>
      <c r="L10" s="43">
        <v>11</v>
      </c>
      <c r="M10" s="43">
        <v>12</v>
      </c>
      <c r="N10" s="6">
        <v>13</v>
      </c>
    </row>
    <row r="11" spans="1:15" ht="15.75" thickBot="1" x14ac:dyDescent="0.3">
      <c r="A11" s="111"/>
      <c r="B11" s="112"/>
      <c r="C11" s="7" t="s">
        <v>217</v>
      </c>
      <c r="D11" s="8">
        <v>91432</v>
      </c>
      <c r="E11" s="8">
        <v>3548854</v>
      </c>
      <c r="F11" s="8">
        <v>260515</v>
      </c>
      <c r="G11" s="9">
        <v>3.1</v>
      </c>
      <c r="H11" s="8">
        <v>1196817</v>
      </c>
      <c r="I11" s="9">
        <v>2.2999999999999998</v>
      </c>
      <c r="J11" s="9">
        <v>1.8</v>
      </c>
      <c r="K11" s="9">
        <v>8.6</v>
      </c>
      <c r="L11" s="9">
        <v>2.4</v>
      </c>
      <c r="M11" s="9">
        <v>9.5</v>
      </c>
      <c r="N11" s="10">
        <v>0.5</v>
      </c>
      <c r="O11" s="11"/>
    </row>
    <row r="12" spans="1:15" ht="15" customHeight="1" x14ac:dyDescent="0.25">
      <c r="A12" s="126">
        <v>1</v>
      </c>
      <c r="B12" s="127"/>
      <c r="C12" s="13" t="s">
        <v>218</v>
      </c>
      <c r="D12" s="14">
        <v>21493</v>
      </c>
      <c r="E12" s="14">
        <v>422685</v>
      </c>
      <c r="F12" s="14">
        <v>29512</v>
      </c>
      <c r="G12" s="15">
        <v>2.7</v>
      </c>
      <c r="H12" s="14">
        <v>281020</v>
      </c>
      <c r="I12" s="15">
        <v>3.1</v>
      </c>
      <c r="J12" s="15">
        <v>2</v>
      </c>
      <c r="K12" s="15">
        <v>5.9</v>
      </c>
      <c r="L12" s="15">
        <v>1.1000000000000001</v>
      </c>
      <c r="M12" s="15">
        <v>6.4</v>
      </c>
      <c r="N12" s="16" t="s">
        <v>46</v>
      </c>
      <c r="O12" s="44"/>
    </row>
    <row r="13" spans="1:15" ht="15" customHeight="1" x14ac:dyDescent="0.25">
      <c r="A13" s="107">
        <v>2</v>
      </c>
      <c r="B13" s="108"/>
      <c r="C13" s="13" t="s">
        <v>219</v>
      </c>
      <c r="D13" s="14">
        <v>7274</v>
      </c>
      <c r="E13" s="14">
        <v>201170</v>
      </c>
      <c r="F13" s="14">
        <v>21877</v>
      </c>
      <c r="G13" s="15">
        <v>3.1</v>
      </c>
      <c r="H13" s="14">
        <v>80227</v>
      </c>
      <c r="I13" s="15">
        <v>2.2000000000000002</v>
      </c>
      <c r="J13" s="15">
        <v>1.6</v>
      </c>
      <c r="K13" s="15">
        <v>7.6</v>
      </c>
      <c r="L13" s="15">
        <v>1.2</v>
      </c>
      <c r="M13" s="15">
        <v>10.6</v>
      </c>
      <c r="N13" s="16" t="s">
        <v>46</v>
      </c>
      <c r="O13" s="44"/>
    </row>
    <row r="14" spans="1:15" ht="15" customHeight="1" x14ac:dyDescent="0.25">
      <c r="A14" s="107">
        <v>3</v>
      </c>
      <c r="B14" s="108"/>
      <c r="C14" s="13" t="s">
        <v>220</v>
      </c>
      <c r="D14" s="14">
        <v>6005</v>
      </c>
      <c r="E14" s="14">
        <v>184859</v>
      </c>
      <c r="F14" s="14">
        <v>11979</v>
      </c>
      <c r="G14" s="15">
        <v>4.0999999999999996</v>
      </c>
      <c r="H14" s="14">
        <v>54490</v>
      </c>
      <c r="I14" s="15">
        <v>1.3</v>
      </c>
      <c r="J14" s="15">
        <v>1.1000000000000001</v>
      </c>
      <c r="K14" s="15">
        <v>11.6</v>
      </c>
      <c r="L14" s="15">
        <v>2.4</v>
      </c>
      <c r="M14" s="15">
        <v>3.4</v>
      </c>
      <c r="N14" s="16" t="s">
        <v>46</v>
      </c>
      <c r="O14" s="44"/>
    </row>
    <row r="15" spans="1:15" ht="15" customHeight="1" x14ac:dyDescent="0.25">
      <c r="A15" s="107">
        <v>4</v>
      </c>
      <c r="B15" s="108"/>
      <c r="C15" s="13" t="s">
        <v>221</v>
      </c>
      <c r="D15" s="14">
        <v>3869</v>
      </c>
      <c r="E15" s="14">
        <v>92527</v>
      </c>
      <c r="F15" s="14">
        <v>1587</v>
      </c>
      <c r="G15" s="15">
        <v>3.1</v>
      </c>
      <c r="H15" s="14">
        <v>55748</v>
      </c>
      <c r="I15" s="15">
        <v>2</v>
      </c>
      <c r="J15" s="15">
        <v>1.9</v>
      </c>
      <c r="K15" s="15">
        <v>5.7</v>
      </c>
      <c r="L15" s="15">
        <v>1.5</v>
      </c>
      <c r="M15" s="15">
        <v>10.6</v>
      </c>
      <c r="N15" s="16">
        <v>0.6</v>
      </c>
      <c r="O15" s="44"/>
    </row>
    <row r="16" spans="1:15" ht="15" customHeight="1" x14ac:dyDescent="0.25">
      <c r="A16" s="107">
        <v>5</v>
      </c>
      <c r="B16" s="108"/>
      <c r="C16" s="13" t="s">
        <v>223</v>
      </c>
      <c r="D16" s="14">
        <v>3034</v>
      </c>
      <c r="E16" s="14">
        <v>106786</v>
      </c>
      <c r="F16" s="14">
        <v>5115</v>
      </c>
      <c r="G16" s="15">
        <v>3.8</v>
      </c>
      <c r="H16" s="14">
        <v>45253</v>
      </c>
      <c r="I16" s="15">
        <v>2.5</v>
      </c>
      <c r="J16" s="15">
        <v>1.6</v>
      </c>
      <c r="K16" s="15">
        <v>11.4</v>
      </c>
      <c r="L16" s="15">
        <v>2.9</v>
      </c>
      <c r="M16" s="15">
        <v>7.1</v>
      </c>
      <c r="N16" s="16" t="s">
        <v>46</v>
      </c>
      <c r="O16" s="44"/>
    </row>
    <row r="17" spans="1:15" ht="15" customHeight="1" x14ac:dyDescent="0.25">
      <c r="A17" s="107">
        <v>6</v>
      </c>
      <c r="B17" s="108"/>
      <c r="C17" s="13" t="s">
        <v>224</v>
      </c>
      <c r="D17" s="14">
        <v>2972</v>
      </c>
      <c r="E17" s="14">
        <v>135092</v>
      </c>
      <c r="F17" s="14">
        <v>8198</v>
      </c>
      <c r="G17" s="15">
        <v>2.8</v>
      </c>
      <c r="H17" s="14">
        <v>30193</v>
      </c>
      <c r="I17" s="15">
        <v>2</v>
      </c>
      <c r="J17" s="15">
        <v>1.9</v>
      </c>
      <c r="K17" s="15">
        <v>8.9</v>
      </c>
      <c r="L17" s="15">
        <v>1.6</v>
      </c>
      <c r="M17" s="15">
        <v>9.8000000000000007</v>
      </c>
      <c r="N17" s="16">
        <v>1.1000000000000001</v>
      </c>
      <c r="O17" s="44"/>
    </row>
    <row r="18" spans="1:15" ht="15" customHeight="1" x14ac:dyDescent="0.25">
      <c r="A18" s="107">
        <v>7</v>
      </c>
      <c r="B18" s="108"/>
      <c r="C18" s="13" t="s">
        <v>222</v>
      </c>
      <c r="D18" s="14">
        <v>2937</v>
      </c>
      <c r="E18" s="14">
        <v>78618</v>
      </c>
      <c r="F18" s="14">
        <v>8124</v>
      </c>
      <c r="G18" s="15">
        <v>4</v>
      </c>
      <c r="H18" s="14">
        <v>36369</v>
      </c>
      <c r="I18" s="15">
        <v>2</v>
      </c>
      <c r="J18" s="15">
        <v>1.7</v>
      </c>
      <c r="K18" s="15">
        <v>7.4</v>
      </c>
      <c r="L18" s="15">
        <v>1.7</v>
      </c>
      <c r="M18" s="15">
        <v>6.8</v>
      </c>
      <c r="N18" s="16">
        <v>1</v>
      </c>
      <c r="O18" s="44"/>
    </row>
    <row r="19" spans="1:15" ht="15" customHeight="1" x14ac:dyDescent="0.25">
      <c r="A19" s="107">
        <v>8</v>
      </c>
      <c r="B19" s="108"/>
      <c r="C19" s="13" t="s">
        <v>225</v>
      </c>
      <c r="D19" s="14">
        <v>2498</v>
      </c>
      <c r="E19" s="14">
        <v>123806</v>
      </c>
      <c r="F19" s="14">
        <v>7512</v>
      </c>
      <c r="G19" s="15">
        <v>3.5</v>
      </c>
      <c r="H19" s="14">
        <v>40548</v>
      </c>
      <c r="I19" s="15">
        <v>2.2000000000000002</v>
      </c>
      <c r="J19" s="15">
        <v>2.4</v>
      </c>
      <c r="K19" s="15">
        <v>9.8000000000000007</v>
      </c>
      <c r="L19" s="15">
        <v>3.2</v>
      </c>
      <c r="M19" s="15">
        <v>18.100000000000001</v>
      </c>
      <c r="N19" s="16" t="s">
        <v>46</v>
      </c>
      <c r="O19" s="44"/>
    </row>
    <row r="20" spans="1:15" ht="15" customHeight="1" x14ac:dyDescent="0.25">
      <c r="A20" s="107">
        <v>9</v>
      </c>
      <c r="B20" s="108"/>
      <c r="C20" s="13" t="s">
        <v>227</v>
      </c>
      <c r="D20" s="14">
        <v>2280</v>
      </c>
      <c r="E20" s="14">
        <v>152172</v>
      </c>
      <c r="F20" s="14">
        <v>9707</v>
      </c>
      <c r="G20" s="15">
        <v>3.1</v>
      </c>
      <c r="H20" s="14">
        <v>27106</v>
      </c>
      <c r="I20" s="15">
        <v>1.2</v>
      </c>
      <c r="J20" s="15">
        <v>0.9</v>
      </c>
      <c r="K20" s="15">
        <v>13.6</v>
      </c>
      <c r="L20" s="15">
        <v>3.7</v>
      </c>
      <c r="M20" s="15">
        <v>14.8</v>
      </c>
      <c r="N20" s="16" t="s">
        <v>46</v>
      </c>
      <c r="O20" s="44"/>
    </row>
    <row r="21" spans="1:15" ht="15" customHeight="1" x14ac:dyDescent="0.25">
      <c r="A21" s="107">
        <v>10</v>
      </c>
      <c r="B21" s="108"/>
      <c r="C21" s="13" t="s">
        <v>226</v>
      </c>
      <c r="D21" s="14">
        <v>2154</v>
      </c>
      <c r="E21" s="14">
        <v>110686</v>
      </c>
      <c r="F21" s="14">
        <v>1014</v>
      </c>
      <c r="G21" s="15">
        <v>3.3</v>
      </c>
      <c r="H21" s="14">
        <v>44663</v>
      </c>
      <c r="I21" s="15">
        <v>2.4</v>
      </c>
      <c r="J21" s="15">
        <v>3</v>
      </c>
      <c r="K21" s="15">
        <v>2.8</v>
      </c>
      <c r="L21" s="15">
        <v>5.4</v>
      </c>
      <c r="M21" s="15">
        <v>30.3</v>
      </c>
      <c r="N21" s="16" t="s">
        <v>46</v>
      </c>
      <c r="O21" s="44"/>
    </row>
    <row r="22" spans="1:15" ht="15" customHeight="1" x14ac:dyDescent="0.25">
      <c r="A22" s="107">
        <v>11</v>
      </c>
      <c r="B22" s="108"/>
      <c r="C22" s="13" t="s">
        <v>229</v>
      </c>
      <c r="D22" s="14">
        <v>1846</v>
      </c>
      <c r="E22" s="14">
        <v>100693</v>
      </c>
      <c r="F22" s="14">
        <v>4248</v>
      </c>
      <c r="G22" s="15">
        <v>2</v>
      </c>
      <c r="H22" s="14">
        <v>16495</v>
      </c>
      <c r="I22" s="15">
        <v>2</v>
      </c>
      <c r="J22" s="15">
        <v>1.4</v>
      </c>
      <c r="K22" s="15">
        <v>3.6</v>
      </c>
      <c r="L22" s="15">
        <v>1.1000000000000001</v>
      </c>
      <c r="M22" s="15">
        <v>3.8</v>
      </c>
      <c r="N22" s="16" t="s">
        <v>46</v>
      </c>
      <c r="O22" s="44"/>
    </row>
    <row r="23" spans="1:15" ht="15" customHeight="1" x14ac:dyDescent="0.25">
      <c r="A23" s="107">
        <v>12</v>
      </c>
      <c r="B23" s="108"/>
      <c r="C23" s="13" t="s">
        <v>228</v>
      </c>
      <c r="D23" s="14">
        <v>1805</v>
      </c>
      <c r="E23" s="14">
        <v>82219</v>
      </c>
      <c r="F23" s="14">
        <v>4245</v>
      </c>
      <c r="G23" s="15">
        <v>2.7</v>
      </c>
      <c r="H23" s="14">
        <v>31948</v>
      </c>
      <c r="I23" s="15">
        <v>2.5</v>
      </c>
      <c r="J23" s="15">
        <v>1.8</v>
      </c>
      <c r="K23" s="15">
        <v>9</v>
      </c>
      <c r="L23" s="15">
        <v>2</v>
      </c>
      <c r="M23" s="15">
        <v>11.9</v>
      </c>
      <c r="N23" s="16">
        <v>5.3</v>
      </c>
      <c r="O23" s="44"/>
    </row>
    <row r="24" spans="1:15" ht="15" customHeight="1" x14ac:dyDescent="0.25">
      <c r="A24" s="107">
        <v>13</v>
      </c>
      <c r="B24" s="108"/>
      <c r="C24" s="13" t="s">
        <v>231</v>
      </c>
      <c r="D24" s="14">
        <v>1692</v>
      </c>
      <c r="E24" s="14">
        <v>57476</v>
      </c>
      <c r="F24" s="15">
        <v>395</v>
      </c>
      <c r="G24" s="15">
        <v>2</v>
      </c>
      <c r="H24" s="14">
        <v>40534</v>
      </c>
      <c r="I24" s="15">
        <v>3</v>
      </c>
      <c r="J24" s="15">
        <v>2.2999999999999998</v>
      </c>
      <c r="K24" s="15">
        <v>3.1</v>
      </c>
      <c r="L24" s="15">
        <v>5.4</v>
      </c>
      <c r="M24" s="15">
        <v>13.4</v>
      </c>
      <c r="N24" s="16" t="s">
        <v>46</v>
      </c>
      <c r="O24" s="44"/>
    </row>
    <row r="25" spans="1:15" ht="15" customHeight="1" x14ac:dyDescent="0.25">
      <c r="A25" s="107">
        <v>14</v>
      </c>
      <c r="B25" s="108"/>
      <c r="C25" s="13" t="s">
        <v>232</v>
      </c>
      <c r="D25" s="14">
        <v>1624</v>
      </c>
      <c r="E25" s="14">
        <v>87920</v>
      </c>
      <c r="F25" s="14">
        <v>5421</v>
      </c>
      <c r="G25" s="15">
        <v>2.6</v>
      </c>
      <c r="H25" s="14">
        <v>29847</v>
      </c>
      <c r="I25" s="15">
        <v>1.7</v>
      </c>
      <c r="J25" s="15">
        <v>1.5</v>
      </c>
      <c r="K25" s="15">
        <v>13.3</v>
      </c>
      <c r="L25" s="15">
        <v>4.5999999999999996</v>
      </c>
      <c r="M25" s="15">
        <v>13.5</v>
      </c>
      <c r="N25" s="16">
        <v>2.1</v>
      </c>
      <c r="O25" s="44"/>
    </row>
    <row r="26" spans="1:15" ht="15" customHeight="1" x14ac:dyDescent="0.25">
      <c r="A26" s="107">
        <v>15</v>
      </c>
      <c r="B26" s="108"/>
      <c r="C26" s="13" t="s">
        <v>233</v>
      </c>
      <c r="D26" s="14">
        <v>1586</v>
      </c>
      <c r="E26" s="14">
        <v>70062</v>
      </c>
      <c r="F26" s="14">
        <v>3446</v>
      </c>
      <c r="G26" s="15">
        <v>3.4</v>
      </c>
      <c r="H26" s="14">
        <v>20070</v>
      </c>
      <c r="I26" s="15">
        <v>2</v>
      </c>
      <c r="J26" s="15">
        <v>1.5</v>
      </c>
      <c r="K26" s="15">
        <v>10.8</v>
      </c>
      <c r="L26" s="15">
        <v>1.7</v>
      </c>
      <c r="M26" s="15">
        <v>13.5</v>
      </c>
      <c r="N26" s="16">
        <v>0.8</v>
      </c>
      <c r="O26" s="44"/>
    </row>
    <row r="27" spans="1:15" ht="15" customHeight="1" x14ac:dyDescent="0.25">
      <c r="A27" s="107">
        <v>16</v>
      </c>
      <c r="B27" s="108"/>
      <c r="C27" s="13" t="s">
        <v>230</v>
      </c>
      <c r="D27" s="14">
        <v>1554</v>
      </c>
      <c r="E27" s="14">
        <v>48160</v>
      </c>
      <c r="F27" s="14">
        <v>4332</v>
      </c>
      <c r="G27" s="15">
        <v>3.3</v>
      </c>
      <c r="H27" s="14">
        <v>24061</v>
      </c>
      <c r="I27" s="15">
        <v>2.1</v>
      </c>
      <c r="J27" s="15">
        <v>1.9</v>
      </c>
      <c r="K27" s="15">
        <v>9.9</v>
      </c>
      <c r="L27" s="15">
        <v>2.5</v>
      </c>
      <c r="M27" s="15">
        <v>9.9</v>
      </c>
      <c r="N27" s="16" t="s">
        <v>46</v>
      </c>
      <c r="O27" s="44"/>
    </row>
    <row r="28" spans="1:15" ht="15" customHeight="1" x14ac:dyDescent="0.25">
      <c r="A28" s="107">
        <v>17</v>
      </c>
      <c r="B28" s="108"/>
      <c r="C28" s="13" t="s">
        <v>234</v>
      </c>
      <c r="D28" s="14">
        <v>1394</v>
      </c>
      <c r="E28" s="14">
        <v>38201</v>
      </c>
      <c r="F28" s="14">
        <v>2856</v>
      </c>
      <c r="G28" s="15">
        <v>3.9</v>
      </c>
      <c r="H28" s="14">
        <v>21068</v>
      </c>
      <c r="I28" s="15">
        <v>1.7</v>
      </c>
      <c r="J28" s="15">
        <v>1.2</v>
      </c>
      <c r="K28" s="15">
        <v>9.9</v>
      </c>
      <c r="L28" s="15">
        <v>2.9</v>
      </c>
      <c r="M28" s="15">
        <v>3.4</v>
      </c>
      <c r="N28" s="16" t="s">
        <v>46</v>
      </c>
      <c r="O28" s="44"/>
    </row>
    <row r="29" spans="1:15" ht="15" customHeight="1" x14ac:dyDescent="0.25">
      <c r="A29" s="107">
        <v>18</v>
      </c>
      <c r="B29" s="108"/>
      <c r="C29" s="13" t="s">
        <v>236</v>
      </c>
      <c r="D29" s="14">
        <v>1326</v>
      </c>
      <c r="E29" s="14">
        <v>57386</v>
      </c>
      <c r="F29" s="14">
        <v>5411</v>
      </c>
      <c r="G29" s="15">
        <v>4.7</v>
      </c>
      <c r="H29" s="14">
        <v>18239</v>
      </c>
      <c r="I29" s="15">
        <v>1.9</v>
      </c>
      <c r="J29" s="15">
        <v>3.3</v>
      </c>
      <c r="K29" s="15">
        <v>16.5</v>
      </c>
      <c r="L29" s="15">
        <v>2.9</v>
      </c>
      <c r="M29" s="15">
        <v>19.100000000000001</v>
      </c>
      <c r="N29" s="16">
        <v>1.7</v>
      </c>
      <c r="O29" s="44"/>
    </row>
    <row r="30" spans="1:15" ht="15" customHeight="1" x14ac:dyDescent="0.25">
      <c r="A30" s="107">
        <v>19</v>
      </c>
      <c r="B30" s="108"/>
      <c r="C30" s="13" t="s">
        <v>239</v>
      </c>
      <c r="D30" s="14">
        <v>1317</v>
      </c>
      <c r="E30" s="14">
        <v>49081</v>
      </c>
      <c r="F30" s="14">
        <v>2574</v>
      </c>
      <c r="G30" s="15">
        <v>5.6</v>
      </c>
      <c r="H30" s="14">
        <v>11207</v>
      </c>
      <c r="I30" s="15">
        <v>2</v>
      </c>
      <c r="J30" s="15">
        <v>0.2</v>
      </c>
      <c r="K30" s="15">
        <v>11.2</v>
      </c>
      <c r="L30" s="15">
        <v>3.1</v>
      </c>
      <c r="M30" s="15">
        <v>9.1</v>
      </c>
      <c r="N30" s="16">
        <v>0.1</v>
      </c>
      <c r="O30" s="44"/>
    </row>
    <row r="31" spans="1:15" ht="15" customHeight="1" x14ac:dyDescent="0.25">
      <c r="A31" s="107">
        <v>20</v>
      </c>
      <c r="B31" s="108"/>
      <c r="C31" s="13" t="s">
        <v>243</v>
      </c>
      <c r="D31" s="14">
        <v>1187</v>
      </c>
      <c r="E31" s="14">
        <v>60987</v>
      </c>
      <c r="F31" s="14">
        <v>8660</v>
      </c>
      <c r="G31" s="15">
        <v>4.0999999999999996</v>
      </c>
      <c r="H31" s="14">
        <v>6193</v>
      </c>
      <c r="I31" s="15">
        <v>1.9</v>
      </c>
      <c r="J31" s="15">
        <v>0.6</v>
      </c>
      <c r="K31" s="15">
        <v>13</v>
      </c>
      <c r="L31" s="15">
        <v>2</v>
      </c>
      <c r="M31" s="15">
        <v>7.4</v>
      </c>
      <c r="N31" s="16" t="s">
        <v>46</v>
      </c>
      <c r="O31" s="44"/>
    </row>
    <row r="32" spans="1:15" ht="15" customHeight="1" x14ac:dyDescent="0.25">
      <c r="A32" s="107">
        <v>21</v>
      </c>
      <c r="B32" s="108"/>
      <c r="C32" s="13" t="s">
        <v>241</v>
      </c>
      <c r="D32" s="14">
        <v>1119</v>
      </c>
      <c r="E32" s="14">
        <v>22621</v>
      </c>
      <c r="F32" s="14">
        <v>4472</v>
      </c>
      <c r="G32" s="15">
        <v>13.4</v>
      </c>
      <c r="H32" s="14">
        <v>6190</v>
      </c>
      <c r="I32" s="15">
        <v>2.4</v>
      </c>
      <c r="J32" s="15">
        <v>1.4</v>
      </c>
      <c r="K32" s="15">
        <v>14.1</v>
      </c>
      <c r="L32" s="15">
        <v>11.9</v>
      </c>
      <c r="M32" s="15">
        <v>4.2</v>
      </c>
      <c r="N32" s="16" t="s">
        <v>46</v>
      </c>
      <c r="O32" s="44"/>
    </row>
    <row r="33" spans="1:15" ht="15" customHeight="1" x14ac:dyDescent="0.25">
      <c r="A33" s="107">
        <v>22</v>
      </c>
      <c r="B33" s="108"/>
      <c r="C33" s="13" t="s">
        <v>240</v>
      </c>
      <c r="D33" s="14">
        <v>1110</v>
      </c>
      <c r="E33" s="14">
        <v>50017</v>
      </c>
      <c r="F33" s="15">
        <v>550</v>
      </c>
      <c r="G33" s="15">
        <v>3.9</v>
      </c>
      <c r="H33" s="14">
        <v>21216</v>
      </c>
      <c r="I33" s="15">
        <v>2.5</v>
      </c>
      <c r="J33" s="15">
        <v>1.6</v>
      </c>
      <c r="K33" s="15">
        <v>4.8</v>
      </c>
      <c r="L33" s="15">
        <v>3.7</v>
      </c>
      <c r="M33" s="15">
        <v>5.6</v>
      </c>
      <c r="N33" s="16">
        <v>0.3</v>
      </c>
      <c r="O33" s="44"/>
    </row>
    <row r="34" spans="1:15" ht="15" customHeight="1" x14ac:dyDescent="0.25">
      <c r="A34" s="107">
        <v>23</v>
      </c>
      <c r="B34" s="108"/>
      <c r="C34" s="13" t="s">
        <v>244</v>
      </c>
      <c r="D34" s="14">
        <v>1096</v>
      </c>
      <c r="E34" s="14">
        <v>64540</v>
      </c>
      <c r="F34" s="14">
        <v>5537</v>
      </c>
      <c r="G34" s="15">
        <v>4.0999999999999996</v>
      </c>
      <c r="H34" s="14">
        <v>9236</v>
      </c>
      <c r="I34" s="15">
        <v>1.6</v>
      </c>
      <c r="J34" s="15">
        <v>2</v>
      </c>
      <c r="K34" s="15">
        <v>17.3</v>
      </c>
      <c r="L34" s="15">
        <v>2</v>
      </c>
      <c r="M34" s="15">
        <v>5.6</v>
      </c>
      <c r="N34" s="16">
        <v>0.9</v>
      </c>
      <c r="O34" s="44"/>
    </row>
    <row r="35" spans="1:15" ht="15" customHeight="1" x14ac:dyDescent="0.25">
      <c r="A35" s="107">
        <v>24</v>
      </c>
      <c r="B35" s="108"/>
      <c r="C35" s="13" t="s">
        <v>242</v>
      </c>
      <c r="D35" s="14">
        <v>1055</v>
      </c>
      <c r="E35" s="14">
        <v>134105</v>
      </c>
      <c r="F35" s="14">
        <v>14527</v>
      </c>
      <c r="G35" s="15">
        <v>1.4</v>
      </c>
      <c r="H35" s="14">
        <v>10429</v>
      </c>
      <c r="I35" s="15">
        <v>2.5</v>
      </c>
      <c r="J35" s="15">
        <v>2.2999999999999998</v>
      </c>
      <c r="K35" s="15">
        <v>6.8</v>
      </c>
      <c r="L35" s="15">
        <v>1.3</v>
      </c>
      <c r="M35" s="15">
        <v>17.8</v>
      </c>
      <c r="N35" s="16">
        <v>4.2</v>
      </c>
      <c r="O35" s="44"/>
    </row>
    <row r="36" spans="1:15" ht="15" customHeight="1" x14ac:dyDescent="0.25">
      <c r="A36" s="107">
        <v>25</v>
      </c>
      <c r="B36" s="108"/>
      <c r="C36" s="13" t="s">
        <v>235</v>
      </c>
      <c r="D36" s="14">
        <v>1054</v>
      </c>
      <c r="E36" s="14">
        <v>54869</v>
      </c>
      <c r="F36" s="14">
        <v>4667</v>
      </c>
      <c r="G36" s="15">
        <v>3.2</v>
      </c>
      <c r="H36" s="14">
        <v>18398</v>
      </c>
      <c r="I36" s="15">
        <v>2.2000000000000002</v>
      </c>
      <c r="J36" s="15">
        <v>1.9</v>
      </c>
      <c r="K36" s="15">
        <v>9.3000000000000007</v>
      </c>
      <c r="L36" s="15">
        <v>2.5</v>
      </c>
      <c r="M36" s="15">
        <v>9.6999999999999993</v>
      </c>
      <c r="N36" s="16">
        <v>2.4</v>
      </c>
      <c r="O36" s="44"/>
    </row>
    <row r="37" spans="1:15" ht="15" customHeight="1" x14ac:dyDescent="0.25">
      <c r="A37" s="107">
        <v>26</v>
      </c>
      <c r="B37" s="108"/>
      <c r="C37" s="13" t="s">
        <v>246</v>
      </c>
      <c r="D37" s="15">
        <v>935</v>
      </c>
      <c r="E37" s="14">
        <v>34027</v>
      </c>
      <c r="F37" s="14">
        <v>2812</v>
      </c>
      <c r="G37" s="15">
        <v>2.8</v>
      </c>
      <c r="H37" s="14">
        <v>11335</v>
      </c>
      <c r="I37" s="15">
        <v>2.7</v>
      </c>
      <c r="J37" s="15">
        <v>2.1</v>
      </c>
      <c r="K37" s="15">
        <v>7.7</v>
      </c>
      <c r="L37" s="15">
        <v>1.6</v>
      </c>
      <c r="M37" s="15">
        <v>17</v>
      </c>
      <c r="N37" s="16">
        <v>1.9</v>
      </c>
      <c r="O37" s="44"/>
    </row>
    <row r="38" spans="1:15" ht="15" customHeight="1" x14ac:dyDescent="0.25">
      <c r="A38" s="107">
        <v>27</v>
      </c>
      <c r="B38" s="108"/>
      <c r="C38" s="13" t="s">
        <v>237</v>
      </c>
      <c r="D38" s="15">
        <v>867</v>
      </c>
      <c r="E38" s="14">
        <v>39896</v>
      </c>
      <c r="F38" s="14">
        <v>3720</v>
      </c>
      <c r="G38" s="15">
        <v>3.8</v>
      </c>
      <c r="H38" s="14">
        <v>14673</v>
      </c>
      <c r="I38" s="15">
        <v>1.8</v>
      </c>
      <c r="J38" s="15">
        <v>1.8</v>
      </c>
      <c r="K38" s="15">
        <v>9.8000000000000007</v>
      </c>
      <c r="L38" s="15">
        <v>2.2000000000000002</v>
      </c>
      <c r="M38" s="15">
        <v>11.4</v>
      </c>
      <c r="N38" s="16">
        <v>1.7</v>
      </c>
      <c r="O38" s="44"/>
    </row>
    <row r="39" spans="1:15" ht="15" customHeight="1" x14ac:dyDescent="0.25">
      <c r="A39" s="107">
        <v>28</v>
      </c>
      <c r="B39" s="108"/>
      <c r="C39" s="13" t="s">
        <v>245</v>
      </c>
      <c r="D39" s="15">
        <v>746</v>
      </c>
      <c r="E39" s="14">
        <v>25499</v>
      </c>
      <c r="F39" s="14">
        <v>1968</v>
      </c>
      <c r="G39" s="15">
        <v>4.2</v>
      </c>
      <c r="H39" s="14">
        <v>12270</v>
      </c>
      <c r="I39" s="15">
        <v>2.1</v>
      </c>
      <c r="J39" s="15">
        <v>1.9</v>
      </c>
      <c r="K39" s="15">
        <v>10.199999999999999</v>
      </c>
      <c r="L39" s="15">
        <v>1.8</v>
      </c>
      <c r="M39" s="15">
        <v>10.4</v>
      </c>
      <c r="N39" s="16" t="s">
        <v>46</v>
      </c>
      <c r="O39" s="44"/>
    </row>
    <row r="40" spans="1:15" ht="15" customHeight="1" x14ac:dyDescent="0.25">
      <c r="A40" s="107">
        <v>29</v>
      </c>
      <c r="B40" s="108"/>
      <c r="C40" s="13" t="s">
        <v>251</v>
      </c>
      <c r="D40" s="15">
        <v>711</v>
      </c>
      <c r="E40" s="14">
        <v>26013</v>
      </c>
      <c r="F40" s="14">
        <v>1876</v>
      </c>
      <c r="G40" s="15">
        <v>2.1</v>
      </c>
      <c r="H40" s="14">
        <v>5357</v>
      </c>
      <c r="I40" s="15">
        <v>1.7</v>
      </c>
      <c r="J40" s="15">
        <v>1</v>
      </c>
      <c r="K40" s="15">
        <v>12.2</v>
      </c>
      <c r="L40" s="15">
        <v>3.2</v>
      </c>
      <c r="M40" s="15">
        <v>8.9</v>
      </c>
      <c r="N40" s="16" t="s">
        <v>46</v>
      </c>
      <c r="O40" s="44"/>
    </row>
    <row r="41" spans="1:15" ht="15" customHeight="1" x14ac:dyDescent="0.25">
      <c r="A41" s="107">
        <v>30</v>
      </c>
      <c r="B41" s="108"/>
      <c r="C41" s="13" t="s">
        <v>249</v>
      </c>
      <c r="D41" s="15">
        <v>701</v>
      </c>
      <c r="E41" s="14">
        <v>37148</v>
      </c>
      <c r="F41" s="14">
        <v>3430</v>
      </c>
      <c r="G41" s="15">
        <v>3.1</v>
      </c>
      <c r="H41" s="14">
        <v>6985</v>
      </c>
      <c r="I41" s="15">
        <v>3.5</v>
      </c>
      <c r="J41" s="15">
        <v>2.5</v>
      </c>
      <c r="K41" s="15">
        <v>12.7</v>
      </c>
      <c r="L41" s="15">
        <v>2.4</v>
      </c>
      <c r="M41" s="15">
        <v>9.1</v>
      </c>
      <c r="N41" s="16">
        <v>0.9</v>
      </c>
      <c r="O41" s="44"/>
    </row>
    <row r="42" spans="1:15" ht="15" customHeight="1" x14ac:dyDescent="0.25">
      <c r="A42" s="107">
        <v>31</v>
      </c>
      <c r="B42" s="108"/>
      <c r="C42" s="13" t="s">
        <v>248</v>
      </c>
      <c r="D42" s="15">
        <v>685</v>
      </c>
      <c r="E42" s="14">
        <v>31146</v>
      </c>
      <c r="F42" s="14">
        <v>3542</v>
      </c>
      <c r="G42" s="15">
        <v>5.8</v>
      </c>
      <c r="H42" s="14">
        <v>9557</v>
      </c>
      <c r="I42" s="15">
        <v>1.7</v>
      </c>
      <c r="J42" s="15">
        <v>1.7</v>
      </c>
      <c r="K42" s="15">
        <v>9.8000000000000007</v>
      </c>
      <c r="L42" s="15">
        <v>9.1999999999999993</v>
      </c>
      <c r="M42" s="15">
        <v>4.8</v>
      </c>
      <c r="N42" s="16" t="s">
        <v>46</v>
      </c>
      <c r="O42" s="44"/>
    </row>
    <row r="43" spans="1:15" ht="15" customHeight="1" x14ac:dyDescent="0.25">
      <c r="A43" s="107">
        <v>32</v>
      </c>
      <c r="B43" s="108"/>
      <c r="C43" s="13" t="s">
        <v>247</v>
      </c>
      <c r="D43" s="15">
        <v>669</v>
      </c>
      <c r="E43" s="14">
        <v>14270</v>
      </c>
      <c r="F43" s="14">
        <v>1170</v>
      </c>
      <c r="G43" s="15">
        <v>3.4</v>
      </c>
      <c r="H43" s="14">
        <v>6086</v>
      </c>
      <c r="I43" s="15">
        <v>2</v>
      </c>
      <c r="J43" s="15">
        <v>2</v>
      </c>
      <c r="K43" s="15">
        <v>6.1</v>
      </c>
      <c r="L43" s="15">
        <v>1.9</v>
      </c>
      <c r="M43" s="15">
        <v>4.5999999999999996</v>
      </c>
      <c r="N43" s="16" t="s">
        <v>46</v>
      </c>
      <c r="O43" s="44"/>
    </row>
    <row r="44" spans="1:15" ht="15" customHeight="1" x14ac:dyDescent="0.25">
      <c r="A44" s="107">
        <v>33</v>
      </c>
      <c r="B44" s="108"/>
      <c r="C44" s="13" t="s">
        <v>250</v>
      </c>
      <c r="D44" s="15">
        <v>667</v>
      </c>
      <c r="E44" s="14">
        <v>23225</v>
      </c>
      <c r="F44" s="15" t="s">
        <v>46</v>
      </c>
      <c r="G44" s="15">
        <v>1.9</v>
      </c>
      <c r="H44" s="14">
        <v>11948</v>
      </c>
      <c r="I44" s="15">
        <v>0.5</v>
      </c>
      <c r="J44" s="15">
        <v>-0.1</v>
      </c>
      <c r="K44" s="15">
        <v>7.9</v>
      </c>
      <c r="L44" s="15">
        <v>2.4</v>
      </c>
      <c r="M44" s="15">
        <v>6.6</v>
      </c>
      <c r="N44" s="16" t="s">
        <v>46</v>
      </c>
      <c r="O44" s="44"/>
    </row>
    <row r="45" spans="1:15" ht="15" customHeight="1" x14ac:dyDescent="0.25">
      <c r="A45" s="107">
        <v>34</v>
      </c>
      <c r="B45" s="108"/>
      <c r="C45" s="13" t="s">
        <v>252</v>
      </c>
      <c r="D45" s="15">
        <v>655</v>
      </c>
      <c r="E45" s="14">
        <v>37145</v>
      </c>
      <c r="F45" s="14">
        <v>3506</v>
      </c>
      <c r="G45" s="15">
        <v>2.2000000000000002</v>
      </c>
      <c r="H45" s="14">
        <v>9569</v>
      </c>
      <c r="I45" s="15">
        <v>1.7</v>
      </c>
      <c r="J45" s="15">
        <v>1.2</v>
      </c>
      <c r="K45" s="15">
        <v>7</v>
      </c>
      <c r="L45" s="15">
        <v>1.8</v>
      </c>
      <c r="M45" s="15">
        <v>0.8</v>
      </c>
      <c r="N45" s="16" t="s">
        <v>46</v>
      </c>
      <c r="O45" s="44"/>
    </row>
    <row r="46" spans="1:15" ht="15" customHeight="1" x14ac:dyDescent="0.25">
      <c r="A46" s="107">
        <v>35</v>
      </c>
      <c r="B46" s="108"/>
      <c r="C46" s="13" t="s">
        <v>253</v>
      </c>
      <c r="D46" s="15">
        <v>647</v>
      </c>
      <c r="E46" s="14">
        <v>30843</v>
      </c>
      <c r="F46" s="14">
        <v>2496</v>
      </c>
      <c r="G46" s="15">
        <v>4</v>
      </c>
      <c r="H46" s="14">
        <v>7640</v>
      </c>
      <c r="I46" s="15">
        <v>2</v>
      </c>
      <c r="J46" s="15">
        <v>2</v>
      </c>
      <c r="K46" s="15">
        <v>14.4</v>
      </c>
      <c r="L46" s="15">
        <v>2.4</v>
      </c>
      <c r="M46" s="15">
        <v>11.5</v>
      </c>
      <c r="N46" s="16">
        <v>1.2</v>
      </c>
      <c r="O46" s="44"/>
    </row>
    <row r="47" spans="1:15" ht="15" customHeight="1" x14ac:dyDescent="0.25">
      <c r="A47" s="107">
        <v>36</v>
      </c>
      <c r="B47" s="108"/>
      <c r="C47" s="13" t="s">
        <v>256</v>
      </c>
      <c r="D47" s="15">
        <v>546</v>
      </c>
      <c r="E47" s="14">
        <v>51626</v>
      </c>
      <c r="F47" s="14">
        <v>7128</v>
      </c>
      <c r="G47" s="15">
        <v>3.7</v>
      </c>
      <c r="H47" s="14">
        <v>8700</v>
      </c>
      <c r="I47" s="15">
        <v>2.1</v>
      </c>
      <c r="J47" s="15">
        <v>1.7</v>
      </c>
      <c r="K47" s="15">
        <v>17.7</v>
      </c>
      <c r="L47" s="15">
        <v>3</v>
      </c>
      <c r="M47" s="15">
        <v>12</v>
      </c>
      <c r="N47" s="16">
        <v>1.4</v>
      </c>
      <c r="O47" s="44"/>
    </row>
    <row r="48" spans="1:15" ht="15" customHeight="1" x14ac:dyDescent="0.25">
      <c r="A48" s="107">
        <v>37</v>
      </c>
      <c r="B48" s="108"/>
      <c r="C48" s="13" t="s">
        <v>254</v>
      </c>
      <c r="D48" s="15">
        <v>517</v>
      </c>
      <c r="E48" s="14">
        <v>25566</v>
      </c>
      <c r="F48" s="14">
        <v>1472</v>
      </c>
      <c r="G48" s="15">
        <v>3.2</v>
      </c>
      <c r="H48" s="14">
        <v>9364</v>
      </c>
      <c r="I48" s="15">
        <v>2.6</v>
      </c>
      <c r="J48" s="15">
        <v>2.1</v>
      </c>
      <c r="K48" s="15">
        <v>9.4</v>
      </c>
      <c r="L48" s="15">
        <v>3</v>
      </c>
      <c r="M48" s="15">
        <v>16.600000000000001</v>
      </c>
      <c r="N48" s="16">
        <v>1.9</v>
      </c>
      <c r="O48" s="44"/>
    </row>
    <row r="49" spans="1:15" ht="15" customHeight="1" x14ac:dyDescent="0.25">
      <c r="A49" s="107">
        <v>38</v>
      </c>
      <c r="B49" s="108"/>
      <c r="C49" s="13" t="s">
        <v>255</v>
      </c>
      <c r="D49" s="15">
        <v>504</v>
      </c>
      <c r="E49" s="14">
        <v>16331</v>
      </c>
      <c r="F49" s="15">
        <v>1</v>
      </c>
      <c r="G49" s="15">
        <v>1.5</v>
      </c>
      <c r="H49" s="14">
        <v>15195</v>
      </c>
      <c r="I49" s="15">
        <v>2.4</v>
      </c>
      <c r="J49" s="15">
        <v>2.4</v>
      </c>
      <c r="K49" s="15">
        <v>3.1</v>
      </c>
      <c r="L49" s="15">
        <v>5.5</v>
      </c>
      <c r="M49" s="15">
        <v>13.1</v>
      </c>
      <c r="N49" s="16" t="s">
        <v>46</v>
      </c>
      <c r="O49" s="44"/>
    </row>
    <row r="50" spans="1:15" ht="15" customHeight="1" x14ac:dyDescent="0.25">
      <c r="A50" s="107">
        <v>39</v>
      </c>
      <c r="B50" s="108"/>
      <c r="C50" s="13" t="s">
        <v>260</v>
      </c>
      <c r="D50" s="15">
        <v>503</v>
      </c>
      <c r="E50" s="14">
        <v>22882</v>
      </c>
      <c r="F50" s="14">
        <v>2931</v>
      </c>
      <c r="G50" s="15">
        <v>4.0999999999999996</v>
      </c>
      <c r="H50" s="14">
        <v>1775</v>
      </c>
      <c r="I50" s="15">
        <v>2.9</v>
      </c>
      <c r="J50" s="15">
        <v>3.2</v>
      </c>
      <c r="K50" s="15">
        <v>12.1</v>
      </c>
      <c r="L50" s="15">
        <v>1.8</v>
      </c>
      <c r="M50" s="15">
        <v>1.2</v>
      </c>
      <c r="N50" s="16" t="s">
        <v>46</v>
      </c>
      <c r="O50" s="44"/>
    </row>
    <row r="51" spans="1:15" ht="15" customHeight="1" x14ac:dyDescent="0.25">
      <c r="A51" s="107">
        <v>40</v>
      </c>
      <c r="B51" s="108"/>
      <c r="C51" s="13" t="s">
        <v>258</v>
      </c>
      <c r="D51" s="15">
        <v>453</v>
      </c>
      <c r="E51" s="14">
        <v>29891</v>
      </c>
      <c r="F51" s="14">
        <v>2399</v>
      </c>
      <c r="G51" s="15">
        <v>3.6</v>
      </c>
      <c r="H51" s="14">
        <v>6261</v>
      </c>
      <c r="I51" s="15">
        <v>2.5</v>
      </c>
      <c r="J51" s="15">
        <v>2.1</v>
      </c>
      <c r="K51" s="15">
        <v>12.5</v>
      </c>
      <c r="L51" s="15">
        <v>3.4</v>
      </c>
      <c r="M51" s="15">
        <v>9.6999999999999993</v>
      </c>
      <c r="N51" s="16" t="s">
        <v>46</v>
      </c>
      <c r="O51" s="44"/>
    </row>
    <row r="52" spans="1:15" ht="15" customHeight="1" x14ac:dyDescent="0.25">
      <c r="A52" s="107">
        <v>41</v>
      </c>
      <c r="B52" s="108"/>
      <c r="C52" s="13" t="s">
        <v>257</v>
      </c>
      <c r="D52" s="15">
        <v>387</v>
      </c>
      <c r="E52" s="14">
        <v>17046</v>
      </c>
      <c r="F52" s="15">
        <v>521</v>
      </c>
      <c r="G52" s="15">
        <v>2.1</v>
      </c>
      <c r="H52" s="14">
        <v>3095</v>
      </c>
      <c r="I52" s="15">
        <v>4.7</v>
      </c>
      <c r="J52" s="15">
        <v>2.2000000000000002</v>
      </c>
      <c r="K52" s="15">
        <v>8.6</v>
      </c>
      <c r="L52" s="15">
        <v>3.5</v>
      </c>
      <c r="M52" s="15">
        <v>9.1</v>
      </c>
      <c r="N52" s="16">
        <v>0.5</v>
      </c>
      <c r="O52" s="44"/>
    </row>
    <row r="53" spans="1:15" ht="15" customHeight="1" x14ac:dyDescent="0.25">
      <c r="A53" s="107">
        <v>42</v>
      </c>
      <c r="B53" s="108"/>
      <c r="C53" s="13" t="s">
        <v>259</v>
      </c>
      <c r="D53" s="15">
        <v>385</v>
      </c>
      <c r="E53" s="14">
        <v>80040</v>
      </c>
      <c r="F53" s="14">
        <v>6334</v>
      </c>
      <c r="G53" s="15">
        <v>1.1000000000000001</v>
      </c>
      <c r="H53" s="14">
        <v>3156</v>
      </c>
      <c r="I53" s="15">
        <v>2.1</v>
      </c>
      <c r="J53" s="15">
        <v>2.2999999999999998</v>
      </c>
      <c r="K53" s="15">
        <v>7.4</v>
      </c>
      <c r="L53" s="15">
        <v>0.8</v>
      </c>
      <c r="M53" s="15">
        <v>33.700000000000003</v>
      </c>
      <c r="N53" s="16">
        <v>2.1</v>
      </c>
      <c r="O53" s="44"/>
    </row>
    <row r="54" spans="1:15" ht="15" customHeight="1" x14ac:dyDescent="0.25">
      <c r="A54" s="107">
        <v>43</v>
      </c>
      <c r="B54" s="108"/>
      <c r="C54" s="13" t="s">
        <v>238</v>
      </c>
      <c r="D54" s="15">
        <v>368</v>
      </c>
      <c r="E54" s="14">
        <v>12865</v>
      </c>
      <c r="F54" s="15">
        <v>507</v>
      </c>
      <c r="G54" s="15">
        <v>4.0999999999999996</v>
      </c>
      <c r="H54" s="14">
        <v>4404</v>
      </c>
      <c r="I54" s="15">
        <v>3</v>
      </c>
      <c r="J54" s="15">
        <v>2.2999999999999998</v>
      </c>
      <c r="K54" s="15">
        <v>4.5</v>
      </c>
      <c r="L54" s="15">
        <v>1.2</v>
      </c>
      <c r="M54" s="15">
        <v>20.3</v>
      </c>
      <c r="N54" s="16">
        <v>3.3</v>
      </c>
      <c r="O54" s="44"/>
    </row>
    <row r="55" spans="1:15" ht="15" customHeight="1" x14ac:dyDescent="0.25">
      <c r="A55" s="107">
        <v>44</v>
      </c>
      <c r="B55" s="108"/>
      <c r="C55" s="13" t="s">
        <v>261</v>
      </c>
      <c r="D55" s="15">
        <v>341</v>
      </c>
      <c r="E55" s="14">
        <v>13717</v>
      </c>
      <c r="F55" s="15">
        <v>708</v>
      </c>
      <c r="G55" s="15">
        <v>3.7</v>
      </c>
      <c r="H55" s="14">
        <v>6774</v>
      </c>
      <c r="I55" s="15">
        <v>2.4</v>
      </c>
      <c r="J55" s="15">
        <v>2.2000000000000002</v>
      </c>
      <c r="K55" s="15">
        <v>9.5</v>
      </c>
      <c r="L55" s="15">
        <v>3.5</v>
      </c>
      <c r="M55" s="15">
        <v>21.8</v>
      </c>
      <c r="N55" s="16">
        <v>0.2</v>
      </c>
      <c r="O55" s="44"/>
    </row>
    <row r="56" spans="1:15" ht="15" customHeight="1" x14ac:dyDescent="0.25">
      <c r="A56" s="107">
        <v>45</v>
      </c>
      <c r="B56" s="108"/>
      <c r="C56" s="13" t="s">
        <v>265</v>
      </c>
      <c r="D56" s="15">
        <v>341</v>
      </c>
      <c r="E56" s="14">
        <v>80714</v>
      </c>
      <c r="F56" s="14">
        <v>7141</v>
      </c>
      <c r="G56" s="15">
        <v>1.8</v>
      </c>
      <c r="H56" s="15">
        <v>751</v>
      </c>
      <c r="I56" s="15">
        <v>2.2999999999999998</v>
      </c>
      <c r="J56" s="15">
        <v>1.7</v>
      </c>
      <c r="K56" s="15">
        <v>16</v>
      </c>
      <c r="L56" s="15">
        <v>2.2999999999999998</v>
      </c>
      <c r="M56" s="15">
        <v>13.1</v>
      </c>
      <c r="N56" s="16" t="s">
        <v>46</v>
      </c>
      <c r="O56" s="44"/>
    </row>
    <row r="57" spans="1:15" ht="15" customHeight="1" x14ac:dyDescent="0.25">
      <c r="A57" s="107">
        <v>46</v>
      </c>
      <c r="B57" s="108"/>
      <c r="C57" s="13" t="s">
        <v>264</v>
      </c>
      <c r="D57" s="15">
        <v>333</v>
      </c>
      <c r="E57" s="14">
        <v>5786</v>
      </c>
      <c r="F57" s="15">
        <v>827</v>
      </c>
      <c r="G57" s="15">
        <v>3.5</v>
      </c>
      <c r="H57" s="14">
        <v>1968</v>
      </c>
      <c r="I57" s="15">
        <v>0.7</v>
      </c>
      <c r="J57" s="15">
        <v>0.6</v>
      </c>
      <c r="K57" s="15">
        <v>0.5</v>
      </c>
      <c r="L57" s="15">
        <v>2.7</v>
      </c>
      <c r="M57" s="15">
        <v>1.7</v>
      </c>
      <c r="N57" s="16">
        <v>0</v>
      </c>
      <c r="O57" s="44"/>
    </row>
    <row r="58" spans="1:15" ht="15" customHeight="1" x14ac:dyDescent="0.25">
      <c r="A58" s="107">
        <v>47</v>
      </c>
      <c r="B58" s="108"/>
      <c r="C58" s="13" t="s">
        <v>263</v>
      </c>
      <c r="D58" s="15">
        <v>329</v>
      </c>
      <c r="E58" s="14">
        <v>9880</v>
      </c>
      <c r="F58" s="15">
        <v>373</v>
      </c>
      <c r="G58" s="15">
        <v>2.1</v>
      </c>
      <c r="H58" s="14">
        <v>5784</v>
      </c>
      <c r="I58" s="15">
        <v>3.1</v>
      </c>
      <c r="J58" s="15">
        <v>2.4</v>
      </c>
      <c r="K58" s="15">
        <v>3.9</v>
      </c>
      <c r="L58" s="15">
        <v>3.1</v>
      </c>
      <c r="M58" s="15">
        <v>15.9</v>
      </c>
      <c r="N58" s="16">
        <v>1.1000000000000001</v>
      </c>
      <c r="O58" s="44"/>
    </row>
    <row r="59" spans="1:15" ht="15" customHeight="1" x14ac:dyDescent="0.25">
      <c r="A59" s="107">
        <v>48</v>
      </c>
      <c r="B59" s="108"/>
      <c r="C59" s="13" t="s">
        <v>266</v>
      </c>
      <c r="D59" s="15">
        <v>318</v>
      </c>
      <c r="E59" s="14">
        <v>6973</v>
      </c>
      <c r="F59" s="15">
        <v>630</v>
      </c>
      <c r="G59" s="15">
        <v>4.0999999999999996</v>
      </c>
      <c r="H59" s="14">
        <v>3042</v>
      </c>
      <c r="I59" s="15">
        <v>1</v>
      </c>
      <c r="J59" s="15">
        <v>-0.2</v>
      </c>
      <c r="K59" s="15">
        <v>12.9</v>
      </c>
      <c r="L59" s="15">
        <v>4</v>
      </c>
      <c r="M59" s="15">
        <v>5.4</v>
      </c>
      <c r="N59" s="16">
        <v>0.6</v>
      </c>
      <c r="O59" s="44"/>
    </row>
    <row r="60" spans="1:15" ht="15" customHeight="1" x14ac:dyDescent="0.25">
      <c r="A60" s="107">
        <v>49</v>
      </c>
      <c r="B60" s="108"/>
      <c r="C60" s="13" t="s">
        <v>262</v>
      </c>
      <c r="D60" s="15">
        <v>302</v>
      </c>
      <c r="E60" s="14">
        <v>10028</v>
      </c>
      <c r="F60" s="15">
        <v>442</v>
      </c>
      <c r="G60" s="15">
        <v>3.9</v>
      </c>
      <c r="H60" s="14">
        <v>4234</v>
      </c>
      <c r="I60" s="15">
        <v>2.6</v>
      </c>
      <c r="J60" s="15">
        <v>1.3</v>
      </c>
      <c r="K60" s="15">
        <v>11.6</v>
      </c>
      <c r="L60" s="15">
        <v>2.4</v>
      </c>
      <c r="M60" s="15">
        <v>9</v>
      </c>
      <c r="N60" s="16" t="s">
        <v>46</v>
      </c>
      <c r="O60" s="44"/>
    </row>
    <row r="61" spans="1:15" ht="15" customHeight="1" x14ac:dyDescent="0.25">
      <c r="A61" s="107">
        <v>50</v>
      </c>
      <c r="B61" s="108"/>
      <c r="C61" s="13" t="s">
        <v>267</v>
      </c>
      <c r="D61" s="15">
        <v>298</v>
      </c>
      <c r="E61" s="14">
        <v>15924</v>
      </c>
      <c r="F61" s="14">
        <v>1749</v>
      </c>
      <c r="G61" s="15">
        <v>6.2</v>
      </c>
      <c r="H61" s="14">
        <v>2935</v>
      </c>
      <c r="I61" s="15">
        <v>2.8</v>
      </c>
      <c r="J61" s="15">
        <v>1</v>
      </c>
      <c r="K61" s="15">
        <v>14.5</v>
      </c>
      <c r="L61" s="15">
        <v>3.2</v>
      </c>
      <c r="M61" s="15">
        <v>5.2</v>
      </c>
      <c r="N61" s="16">
        <v>0.7</v>
      </c>
      <c r="O61" s="44"/>
    </row>
    <row r="62" spans="1:15" ht="15" customHeight="1" x14ac:dyDescent="0.25">
      <c r="A62" s="107">
        <v>51</v>
      </c>
      <c r="B62" s="108"/>
      <c r="C62" s="13" t="s">
        <v>268</v>
      </c>
      <c r="D62" s="15">
        <v>248</v>
      </c>
      <c r="E62" s="14">
        <v>7813</v>
      </c>
      <c r="F62" s="15" t="s">
        <v>46</v>
      </c>
      <c r="G62" s="15">
        <v>2.8</v>
      </c>
      <c r="H62" s="14">
        <v>4898</v>
      </c>
      <c r="I62" s="15">
        <v>0.8</v>
      </c>
      <c r="J62" s="15">
        <v>-0.8</v>
      </c>
      <c r="K62" s="15">
        <v>5</v>
      </c>
      <c r="L62" s="15">
        <v>4.5</v>
      </c>
      <c r="M62" s="15">
        <v>5.2</v>
      </c>
      <c r="N62" s="16" t="s">
        <v>46</v>
      </c>
      <c r="O62" s="44"/>
    </row>
    <row r="63" spans="1:15" ht="15" customHeight="1" x14ac:dyDescent="0.25">
      <c r="A63" s="107">
        <v>52</v>
      </c>
      <c r="B63" s="108"/>
      <c r="C63" s="13" t="s">
        <v>269</v>
      </c>
      <c r="D63" s="15">
        <v>232</v>
      </c>
      <c r="E63" s="14">
        <v>96509</v>
      </c>
      <c r="F63" s="14">
        <v>11095</v>
      </c>
      <c r="G63" s="15">
        <v>1.4</v>
      </c>
      <c r="H63" s="15">
        <v>831</v>
      </c>
      <c r="I63" s="15">
        <v>1.7</v>
      </c>
      <c r="J63" s="15">
        <v>1.4</v>
      </c>
      <c r="K63" s="15">
        <v>17.100000000000001</v>
      </c>
      <c r="L63" s="15">
        <v>1.2</v>
      </c>
      <c r="M63" s="15">
        <v>21.3</v>
      </c>
      <c r="N63" s="16">
        <v>1.1000000000000001</v>
      </c>
      <c r="O63" s="44"/>
    </row>
    <row r="64" spans="1:15" ht="15" customHeight="1" x14ac:dyDescent="0.25">
      <c r="A64" s="107">
        <v>53</v>
      </c>
      <c r="B64" s="108"/>
      <c r="C64" s="13" t="s">
        <v>272</v>
      </c>
      <c r="D64" s="15">
        <v>171</v>
      </c>
      <c r="E64" s="14">
        <v>4436</v>
      </c>
      <c r="F64" s="15">
        <v>231</v>
      </c>
      <c r="G64" s="15">
        <v>2.9</v>
      </c>
      <c r="H64" s="14">
        <v>2586</v>
      </c>
      <c r="I64" s="15">
        <v>1.2</v>
      </c>
      <c r="J64" s="15">
        <v>0.8</v>
      </c>
      <c r="K64" s="15">
        <v>8.8000000000000007</v>
      </c>
      <c r="L64" s="15">
        <v>2.5</v>
      </c>
      <c r="M64" s="15">
        <v>2.4</v>
      </c>
      <c r="N64" s="16">
        <v>2.2999999999999998</v>
      </c>
      <c r="O64" s="44"/>
    </row>
    <row r="65" spans="1:15" ht="15" customHeight="1" x14ac:dyDescent="0.25">
      <c r="A65" s="107">
        <v>54</v>
      </c>
      <c r="B65" s="108"/>
      <c r="C65" s="13" t="s">
        <v>270</v>
      </c>
      <c r="D65" s="15">
        <v>169</v>
      </c>
      <c r="E65" s="14">
        <v>4853</v>
      </c>
      <c r="F65" s="15">
        <v>503</v>
      </c>
      <c r="G65" s="15">
        <v>3.8</v>
      </c>
      <c r="H65" s="14">
        <v>1695</v>
      </c>
      <c r="I65" s="15">
        <v>1.8</v>
      </c>
      <c r="J65" s="15">
        <v>1.6</v>
      </c>
      <c r="K65" s="15">
        <v>9</v>
      </c>
      <c r="L65" s="15">
        <v>1.5</v>
      </c>
      <c r="M65" s="15">
        <v>7.3</v>
      </c>
      <c r="N65" s="16">
        <v>1.2</v>
      </c>
      <c r="O65" s="44"/>
    </row>
    <row r="66" spans="1:15" ht="15" customHeight="1" x14ac:dyDescent="0.25">
      <c r="A66" s="107">
        <v>55</v>
      </c>
      <c r="B66" s="108"/>
      <c r="C66" s="13" t="s">
        <v>273</v>
      </c>
      <c r="D66" s="15">
        <v>167</v>
      </c>
      <c r="E66" s="14">
        <v>46632</v>
      </c>
      <c r="F66" s="14">
        <v>3006</v>
      </c>
      <c r="G66" s="15">
        <v>4.0999999999999996</v>
      </c>
      <c r="H66" s="14">
        <v>1071</v>
      </c>
      <c r="I66" s="15">
        <v>1.8</v>
      </c>
      <c r="J66" s="15">
        <v>1.4</v>
      </c>
      <c r="K66" s="15">
        <v>24</v>
      </c>
      <c r="L66" s="15">
        <v>3.7</v>
      </c>
      <c r="M66" s="15">
        <v>2</v>
      </c>
      <c r="N66" s="16" t="s">
        <v>46</v>
      </c>
      <c r="O66" s="44"/>
    </row>
    <row r="67" spans="1:15" ht="15" customHeight="1" x14ac:dyDescent="0.25">
      <c r="A67" s="107">
        <v>56</v>
      </c>
      <c r="B67" s="108"/>
      <c r="C67" s="13" t="s">
        <v>275</v>
      </c>
      <c r="D67" s="15">
        <v>159</v>
      </c>
      <c r="E67" s="14">
        <v>4796</v>
      </c>
      <c r="F67" s="15">
        <v>287</v>
      </c>
      <c r="G67" s="15">
        <v>2</v>
      </c>
      <c r="H67" s="14">
        <v>3021</v>
      </c>
      <c r="I67" s="15">
        <v>1.7</v>
      </c>
      <c r="J67" s="15">
        <v>1.8</v>
      </c>
      <c r="K67" s="15">
        <v>7.4</v>
      </c>
      <c r="L67" s="15">
        <v>2.1</v>
      </c>
      <c r="M67" s="15">
        <v>7.8</v>
      </c>
      <c r="N67" s="16">
        <v>1.9</v>
      </c>
      <c r="O67" s="44"/>
    </row>
    <row r="68" spans="1:15" ht="15" customHeight="1" x14ac:dyDescent="0.25">
      <c r="A68" s="107">
        <v>57</v>
      </c>
      <c r="B68" s="108"/>
      <c r="C68" s="13" t="s">
        <v>274</v>
      </c>
      <c r="D68" s="15">
        <v>158</v>
      </c>
      <c r="E68" s="14">
        <v>4514</v>
      </c>
      <c r="F68" s="15">
        <v>411</v>
      </c>
      <c r="G68" s="15">
        <v>3.5</v>
      </c>
      <c r="H68" s="14">
        <v>2459</v>
      </c>
      <c r="I68" s="15">
        <v>1.8</v>
      </c>
      <c r="J68" s="15">
        <v>1.9</v>
      </c>
      <c r="K68" s="15">
        <v>8.1</v>
      </c>
      <c r="L68" s="15">
        <v>2.8</v>
      </c>
      <c r="M68" s="15">
        <v>5</v>
      </c>
      <c r="N68" s="16">
        <v>1.5</v>
      </c>
      <c r="O68" s="44"/>
    </row>
    <row r="69" spans="1:15" ht="15" customHeight="1" x14ac:dyDescent="0.25">
      <c r="A69" s="107">
        <v>58</v>
      </c>
      <c r="B69" s="108"/>
      <c r="C69" s="13" t="s">
        <v>278</v>
      </c>
      <c r="D69" s="15">
        <v>146</v>
      </c>
      <c r="E69" s="14">
        <v>6148</v>
      </c>
      <c r="F69" s="15">
        <v>750</v>
      </c>
      <c r="G69" s="15">
        <v>4.9000000000000004</v>
      </c>
      <c r="H69" s="14">
        <v>1355</v>
      </c>
      <c r="I69" s="15">
        <v>2.4</v>
      </c>
      <c r="J69" s="15">
        <v>2.8</v>
      </c>
      <c r="K69" s="15">
        <v>15.7</v>
      </c>
      <c r="L69" s="15">
        <v>2.2999999999999998</v>
      </c>
      <c r="M69" s="15">
        <v>18</v>
      </c>
      <c r="N69" s="16">
        <v>0</v>
      </c>
      <c r="O69" s="44"/>
    </row>
    <row r="70" spans="1:15" ht="15" customHeight="1" x14ac:dyDescent="0.25">
      <c r="A70" s="107">
        <v>59</v>
      </c>
      <c r="B70" s="108"/>
      <c r="C70" s="13" t="s">
        <v>271</v>
      </c>
      <c r="D70" s="15">
        <v>143</v>
      </c>
      <c r="E70" s="14">
        <v>2736</v>
      </c>
      <c r="F70" s="15">
        <v>162</v>
      </c>
      <c r="G70" s="15">
        <v>2.2999999999999998</v>
      </c>
      <c r="H70" s="14">
        <v>1958</v>
      </c>
      <c r="I70" s="15">
        <v>2.5</v>
      </c>
      <c r="J70" s="15">
        <v>2.8</v>
      </c>
      <c r="K70" s="15">
        <v>7.6</v>
      </c>
      <c r="L70" s="15">
        <v>4.2</v>
      </c>
      <c r="M70" s="15">
        <v>16.399999999999999</v>
      </c>
      <c r="N70" s="16">
        <v>0.5</v>
      </c>
      <c r="O70" s="44"/>
    </row>
    <row r="71" spans="1:15" ht="15" customHeight="1" x14ac:dyDescent="0.25">
      <c r="A71" s="107">
        <v>60</v>
      </c>
      <c r="B71" s="108"/>
      <c r="C71" s="13" t="s">
        <v>277</v>
      </c>
      <c r="D71" s="15">
        <v>134</v>
      </c>
      <c r="E71" s="14">
        <v>4513</v>
      </c>
      <c r="F71" s="15">
        <v>2</v>
      </c>
      <c r="G71" s="15">
        <v>3</v>
      </c>
      <c r="H71" s="14">
        <v>2804</v>
      </c>
      <c r="I71" s="15">
        <v>2.1</v>
      </c>
      <c r="J71" s="15">
        <v>2.2999999999999998</v>
      </c>
      <c r="K71" s="15">
        <v>1.7</v>
      </c>
      <c r="L71" s="15">
        <v>2.5</v>
      </c>
      <c r="M71" s="15">
        <v>14</v>
      </c>
      <c r="N71" s="16" t="s">
        <v>46</v>
      </c>
      <c r="O71" s="44"/>
    </row>
    <row r="72" spans="1:15" ht="15" customHeight="1" x14ac:dyDescent="0.25">
      <c r="A72" s="107">
        <v>61</v>
      </c>
      <c r="B72" s="108"/>
      <c r="C72" s="13" t="s">
        <v>276</v>
      </c>
      <c r="D72" s="15">
        <v>132</v>
      </c>
      <c r="E72" s="14">
        <v>6253</v>
      </c>
      <c r="F72" s="15">
        <v>8</v>
      </c>
      <c r="G72" s="15">
        <v>1.6</v>
      </c>
      <c r="H72" s="14">
        <v>3913</v>
      </c>
      <c r="I72" s="15">
        <v>4</v>
      </c>
      <c r="J72" s="15">
        <v>0.2</v>
      </c>
      <c r="K72" s="15">
        <v>0.5</v>
      </c>
      <c r="L72" s="15">
        <v>5.8</v>
      </c>
      <c r="M72" s="15" t="s">
        <v>46</v>
      </c>
      <c r="N72" s="16" t="s">
        <v>46</v>
      </c>
      <c r="O72" s="44"/>
    </row>
    <row r="73" spans="1:15" ht="15" customHeight="1" x14ac:dyDescent="0.25">
      <c r="A73" s="107">
        <v>62</v>
      </c>
      <c r="B73" s="108"/>
      <c r="C73" s="13" t="s">
        <v>279</v>
      </c>
      <c r="D73" s="15">
        <v>126</v>
      </c>
      <c r="E73" s="14">
        <v>3622</v>
      </c>
      <c r="F73" s="15">
        <v>246</v>
      </c>
      <c r="G73" s="15">
        <v>2.8</v>
      </c>
      <c r="H73" s="14">
        <v>1589</v>
      </c>
      <c r="I73" s="15">
        <v>1.5</v>
      </c>
      <c r="J73" s="15">
        <v>1.6</v>
      </c>
      <c r="K73" s="15">
        <v>9.3000000000000007</v>
      </c>
      <c r="L73" s="15">
        <v>2.9</v>
      </c>
      <c r="M73" s="15">
        <v>6.9</v>
      </c>
      <c r="N73" s="16">
        <v>0.8</v>
      </c>
      <c r="O73" s="44"/>
    </row>
    <row r="74" spans="1:15" ht="15" customHeight="1" x14ac:dyDescent="0.25">
      <c r="A74" s="107">
        <v>63</v>
      </c>
      <c r="B74" s="108"/>
      <c r="C74" s="13" t="s">
        <v>280</v>
      </c>
      <c r="D74" s="15">
        <v>114</v>
      </c>
      <c r="E74" s="14">
        <v>11633</v>
      </c>
      <c r="F74" s="15">
        <v>709</v>
      </c>
      <c r="G74" s="15">
        <v>1.6</v>
      </c>
      <c r="H74" s="15">
        <v>539</v>
      </c>
      <c r="I74" s="15">
        <v>2.5</v>
      </c>
      <c r="J74" s="15">
        <v>1.2</v>
      </c>
      <c r="K74" s="15">
        <v>4.0999999999999996</v>
      </c>
      <c r="L74" s="15">
        <v>3.6</v>
      </c>
      <c r="M74" s="15">
        <v>8.4</v>
      </c>
      <c r="N74" s="16" t="s">
        <v>46</v>
      </c>
      <c r="O74" s="44"/>
    </row>
    <row r="75" spans="1:15" ht="15" customHeight="1" x14ac:dyDescent="0.25">
      <c r="A75" s="107">
        <v>64</v>
      </c>
      <c r="B75" s="108"/>
      <c r="C75" s="13" t="s">
        <v>283</v>
      </c>
      <c r="D75" s="15">
        <v>87</v>
      </c>
      <c r="E75" s="14">
        <v>4306</v>
      </c>
      <c r="F75" s="15">
        <v>265</v>
      </c>
      <c r="G75" s="15">
        <v>3.4</v>
      </c>
      <c r="H75" s="14">
        <v>1329</v>
      </c>
      <c r="I75" s="15">
        <v>2</v>
      </c>
      <c r="J75" s="15">
        <v>2.4</v>
      </c>
      <c r="K75" s="15">
        <v>9.5</v>
      </c>
      <c r="L75" s="15">
        <v>2.4</v>
      </c>
      <c r="M75" s="15">
        <v>13.4</v>
      </c>
      <c r="N75" s="16">
        <v>0.8</v>
      </c>
      <c r="O75" s="44"/>
    </row>
    <row r="76" spans="1:15" ht="15" customHeight="1" x14ac:dyDescent="0.25">
      <c r="A76" s="107">
        <v>65</v>
      </c>
      <c r="B76" s="108"/>
      <c r="C76" s="13" t="s">
        <v>282</v>
      </c>
      <c r="D76" s="15">
        <v>85</v>
      </c>
      <c r="E76" s="14">
        <v>4670</v>
      </c>
      <c r="F76" s="15">
        <v>13</v>
      </c>
      <c r="G76" s="15">
        <v>1.5</v>
      </c>
      <c r="H76" s="14">
        <v>3043</v>
      </c>
      <c r="I76" s="15">
        <v>4.5</v>
      </c>
      <c r="J76" s="15">
        <v>3.3</v>
      </c>
      <c r="K76" s="15">
        <v>9.1</v>
      </c>
      <c r="L76" s="15">
        <v>6.3</v>
      </c>
      <c r="M76" s="15">
        <v>40</v>
      </c>
      <c r="N76" s="16">
        <v>4.8</v>
      </c>
      <c r="O76" s="44"/>
    </row>
    <row r="77" spans="1:15" ht="15" customHeight="1" x14ac:dyDescent="0.25">
      <c r="A77" s="107">
        <v>66</v>
      </c>
      <c r="B77" s="108"/>
      <c r="C77" s="13" t="s">
        <v>284</v>
      </c>
      <c r="D77" s="15">
        <v>83</v>
      </c>
      <c r="E77" s="14">
        <v>3409</v>
      </c>
      <c r="F77" s="15">
        <v>184</v>
      </c>
      <c r="G77" s="15">
        <v>3.1</v>
      </c>
      <c r="H77" s="14">
        <v>1618</v>
      </c>
      <c r="I77" s="15">
        <v>4</v>
      </c>
      <c r="J77" s="15">
        <v>3.3</v>
      </c>
      <c r="K77" s="15">
        <v>5.4</v>
      </c>
      <c r="L77" s="15">
        <v>3.9</v>
      </c>
      <c r="M77" s="15">
        <v>27.8</v>
      </c>
      <c r="N77" s="16">
        <v>2.4</v>
      </c>
      <c r="O77" s="44"/>
    </row>
    <row r="78" spans="1:15" ht="15" customHeight="1" x14ac:dyDescent="0.25">
      <c r="A78" s="107">
        <v>67</v>
      </c>
      <c r="B78" s="108"/>
      <c r="C78" s="13" t="s">
        <v>281</v>
      </c>
      <c r="D78" s="15">
        <v>81</v>
      </c>
      <c r="E78" s="14">
        <v>3433</v>
      </c>
      <c r="F78" s="15">
        <v>29</v>
      </c>
      <c r="G78" s="15">
        <v>3.2</v>
      </c>
      <c r="H78" s="14">
        <v>1697</v>
      </c>
      <c r="I78" s="15">
        <v>3.4</v>
      </c>
      <c r="J78" s="15">
        <v>1.7</v>
      </c>
      <c r="K78" s="15">
        <v>1.3</v>
      </c>
      <c r="L78" s="15">
        <v>1.9</v>
      </c>
      <c r="M78" s="15">
        <v>10.199999999999999</v>
      </c>
      <c r="N78" s="16">
        <v>1.5</v>
      </c>
      <c r="O78" s="44"/>
    </row>
    <row r="79" spans="1:15" ht="15" customHeight="1" x14ac:dyDescent="0.25">
      <c r="A79" s="107">
        <v>68</v>
      </c>
      <c r="B79" s="108"/>
      <c r="C79" s="13" t="s">
        <v>300</v>
      </c>
      <c r="D79" s="15">
        <v>57</v>
      </c>
      <c r="E79" s="14">
        <v>4655</v>
      </c>
      <c r="F79" s="14">
        <v>4698</v>
      </c>
      <c r="G79" s="15">
        <v>2.2000000000000002</v>
      </c>
      <c r="H79" s="15">
        <v>89</v>
      </c>
      <c r="I79" s="15">
        <v>2.2999999999999998</v>
      </c>
      <c r="J79" s="15">
        <v>1.5</v>
      </c>
      <c r="K79" s="15">
        <v>132.9</v>
      </c>
      <c r="L79" s="15">
        <v>8.3000000000000007</v>
      </c>
      <c r="M79" s="15">
        <v>0.4</v>
      </c>
      <c r="N79" s="16" t="s">
        <v>46</v>
      </c>
      <c r="O79" s="44"/>
    </row>
    <row r="80" spans="1:15" ht="15" customHeight="1" x14ac:dyDescent="0.25">
      <c r="A80" s="107">
        <v>69</v>
      </c>
      <c r="B80" s="108"/>
      <c r="C80" s="13" t="s">
        <v>285</v>
      </c>
      <c r="D80" s="15">
        <v>54</v>
      </c>
      <c r="E80" s="14">
        <v>1627</v>
      </c>
      <c r="F80" s="15">
        <v>3</v>
      </c>
      <c r="G80" s="15">
        <v>1.6</v>
      </c>
      <c r="H80" s="14">
        <v>1543</v>
      </c>
      <c r="I80" s="15">
        <v>1.6</v>
      </c>
      <c r="J80" s="15">
        <v>2.5</v>
      </c>
      <c r="K80" s="15">
        <v>1.2</v>
      </c>
      <c r="L80" s="15">
        <v>2.6</v>
      </c>
      <c r="M80" s="15">
        <v>19.2</v>
      </c>
      <c r="N80" s="16" t="s">
        <v>46</v>
      </c>
      <c r="O80" s="44"/>
    </row>
    <row r="81" spans="1:16" ht="15" customHeight="1" x14ac:dyDescent="0.25">
      <c r="A81" s="107">
        <v>70</v>
      </c>
      <c r="B81" s="108"/>
      <c r="C81" s="13" t="s">
        <v>286</v>
      </c>
      <c r="D81" s="15">
        <v>54</v>
      </c>
      <c r="E81" s="14">
        <v>4452</v>
      </c>
      <c r="F81" s="15" t="s">
        <v>46</v>
      </c>
      <c r="G81" s="15">
        <v>1.6</v>
      </c>
      <c r="H81" s="14">
        <v>1517</v>
      </c>
      <c r="I81" s="15">
        <v>1.7</v>
      </c>
      <c r="J81" s="15">
        <v>0.6</v>
      </c>
      <c r="K81" s="15">
        <v>1.2</v>
      </c>
      <c r="L81" s="15">
        <v>3.9</v>
      </c>
      <c r="M81" s="15">
        <v>10.4</v>
      </c>
      <c r="N81" s="16" t="s">
        <v>46</v>
      </c>
      <c r="O81" s="44"/>
    </row>
    <row r="82" spans="1:16" ht="15" customHeight="1" x14ac:dyDescent="0.25">
      <c r="A82" s="107">
        <v>71</v>
      </c>
      <c r="B82" s="108"/>
      <c r="C82" s="13" t="s">
        <v>287</v>
      </c>
      <c r="D82" s="15">
        <v>51</v>
      </c>
      <c r="E82" s="14">
        <v>1588</v>
      </c>
      <c r="F82" s="15">
        <v>176</v>
      </c>
      <c r="G82" s="15">
        <v>2.9</v>
      </c>
      <c r="H82" s="15">
        <v>709</v>
      </c>
      <c r="I82" s="15">
        <v>2.2000000000000002</v>
      </c>
      <c r="J82" s="15">
        <v>1.8</v>
      </c>
      <c r="K82" s="15">
        <v>5.8</v>
      </c>
      <c r="L82" s="15">
        <v>1.8</v>
      </c>
      <c r="M82" s="15">
        <v>0.8</v>
      </c>
      <c r="N82" s="16" t="s">
        <v>46</v>
      </c>
      <c r="O82" s="44"/>
    </row>
    <row r="83" spans="1:16" ht="15" customHeight="1" x14ac:dyDescent="0.25">
      <c r="A83" s="107">
        <v>72</v>
      </c>
      <c r="B83" s="108"/>
      <c r="C83" s="13" t="s">
        <v>288</v>
      </c>
      <c r="D83" s="15">
        <v>50</v>
      </c>
      <c r="E83" s="14">
        <v>12800</v>
      </c>
      <c r="F83" s="15">
        <v>837</v>
      </c>
      <c r="G83" s="15">
        <v>1.3</v>
      </c>
      <c r="H83" s="15">
        <v>206</v>
      </c>
      <c r="I83" s="15">
        <v>2.8</v>
      </c>
      <c r="J83" s="15">
        <v>2.1</v>
      </c>
      <c r="K83" s="15">
        <v>6.5</v>
      </c>
      <c r="L83" s="15">
        <v>1.3</v>
      </c>
      <c r="M83" s="15">
        <v>28.8</v>
      </c>
      <c r="N83" s="16" t="s">
        <v>46</v>
      </c>
      <c r="O83" s="44"/>
    </row>
    <row r="84" spans="1:16" ht="15" customHeight="1" x14ac:dyDescent="0.25">
      <c r="A84" s="107">
        <v>73</v>
      </c>
      <c r="B84" s="108"/>
      <c r="C84" s="13" t="s">
        <v>292</v>
      </c>
      <c r="D84" s="15">
        <v>46</v>
      </c>
      <c r="E84" s="14">
        <v>1307</v>
      </c>
      <c r="F84" s="15">
        <v>416</v>
      </c>
      <c r="G84" s="15">
        <v>12.2</v>
      </c>
      <c r="H84" s="15">
        <v>55</v>
      </c>
      <c r="I84" s="15">
        <v>0.9</v>
      </c>
      <c r="J84" s="15">
        <v>0.8</v>
      </c>
      <c r="K84" s="15">
        <v>19.899999999999999</v>
      </c>
      <c r="L84" s="15">
        <v>33.5</v>
      </c>
      <c r="M84" s="15" t="s">
        <v>46</v>
      </c>
      <c r="N84" s="16" t="s">
        <v>46</v>
      </c>
      <c r="O84" s="44"/>
    </row>
    <row r="85" spans="1:16" ht="15" customHeight="1" x14ac:dyDescent="0.25">
      <c r="A85" s="107">
        <v>74</v>
      </c>
      <c r="B85" s="108"/>
      <c r="C85" s="13" t="s">
        <v>289</v>
      </c>
      <c r="D85" s="15">
        <v>40</v>
      </c>
      <c r="E85" s="14">
        <v>4405</v>
      </c>
      <c r="F85" s="15">
        <v>199</v>
      </c>
      <c r="G85" s="15">
        <v>1</v>
      </c>
      <c r="H85" s="15">
        <v>638</v>
      </c>
      <c r="I85" s="15">
        <v>2.4</v>
      </c>
      <c r="J85" s="15">
        <v>3</v>
      </c>
      <c r="K85" s="15">
        <v>4.8</v>
      </c>
      <c r="L85" s="15">
        <v>2.6</v>
      </c>
      <c r="M85" s="15">
        <v>38.700000000000003</v>
      </c>
      <c r="N85" s="16">
        <v>3.8</v>
      </c>
      <c r="O85" s="44"/>
    </row>
    <row r="86" spans="1:16" ht="15" customHeight="1" x14ac:dyDescent="0.25">
      <c r="A86" s="107">
        <v>75</v>
      </c>
      <c r="B86" s="108"/>
      <c r="C86" s="13" t="s">
        <v>291</v>
      </c>
      <c r="D86" s="15">
        <v>33</v>
      </c>
      <c r="E86" s="15">
        <v>944</v>
      </c>
      <c r="F86" s="15">
        <v>14</v>
      </c>
      <c r="G86" s="15">
        <v>2.1</v>
      </c>
      <c r="H86" s="15">
        <v>677</v>
      </c>
      <c r="I86" s="15">
        <v>2.5</v>
      </c>
      <c r="J86" s="15">
        <v>2.1</v>
      </c>
      <c r="K86" s="15">
        <v>5.4</v>
      </c>
      <c r="L86" s="15">
        <v>5.5</v>
      </c>
      <c r="M86" s="15">
        <v>17.7</v>
      </c>
      <c r="N86" s="16">
        <v>7.5</v>
      </c>
      <c r="O86" s="44"/>
    </row>
    <row r="87" spans="1:16" ht="15" customHeight="1" x14ac:dyDescent="0.25">
      <c r="A87" s="107">
        <v>76</v>
      </c>
      <c r="B87" s="108"/>
      <c r="C87" s="13" t="s">
        <v>290</v>
      </c>
      <c r="D87" s="15">
        <v>33</v>
      </c>
      <c r="E87" s="14">
        <v>2508</v>
      </c>
      <c r="F87" s="15">
        <v>0</v>
      </c>
      <c r="G87" s="15">
        <v>3.3</v>
      </c>
      <c r="H87" s="15">
        <v>363</v>
      </c>
      <c r="I87" s="15">
        <v>1.2</v>
      </c>
      <c r="J87" s="15">
        <v>0.9</v>
      </c>
      <c r="K87" s="15">
        <v>1.9</v>
      </c>
      <c r="L87" s="15">
        <v>4</v>
      </c>
      <c r="M87" s="15">
        <v>23.7</v>
      </c>
      <c r="N87" s="16">
        <v>0.9</v>
      </c>
      <c r="O87" s="44"/>
    </row>
    <row r="88" spans="1:16" ht="15" customHeight="1" x14ac:dyDescent="0.25">
      <c r="A88" s="107">
        <v>77</v>
      </c>
      <c r="B88" s="108"/>
      <c r="C88" s="13" t="s">
        <v>294</v>
      </c>
      <c r="D88" s="15">
        <v>30</v>
      </c>
      <c r="E88" s="14">
        <v>2106</v>
      </c>
      <c r="F88" s="15">
        <v>950</v>
      </c>
      <c r="G88" s="15">
        <v>7.7</v>
      </c>
      <c r="H88" s="15">
        <v>55</v>
      </c>
      <c r="I88" s="15">
        <v>1.1000000000000001</v>
      </c>
      <c r="J88" s="15">
        <v>0.5</v>
      </c>
      <c r="K88" s="15">
        <v>32.1</v>
      </c>
      <c r="L88" s="15">
        <v>41.4</v>
      </c>
      <c r="M88" s="15" t="s">
        <v>46</v>
      </c>
      <c r="N88" s="16">
        <v>-23.7</v>
      </c>
      <c r="O88" s="44"/>
    </row>
    <row r="89" spans="1:16" ht="15" customHeight="1" x14ac:dyDescent="0.25">
      <c r="A89" s="107">
        <v>78</v>
      </c>
      <c r="B89" s="108"/>
      <c r="C89" s="13" t="s">
        <v>293</v>
      </c>
      <c r="D89" s="15">
        <v>30</v>
      </c>
      <c r="E89" s="14">
        <v>1287</v>
      </c>
      <c r="F89" s="15" t="s">
        <v>46</v>
      </c>
      <c r="G89" s="15">
        <v>2.9</v>
      </c>
      <c r="H89" s="15">
        <v>725</v>
      </c>
      <c r="I89" s="15">
        <v>2</v>
      </c>
      <c r="J89" s="15">
        <v>1.8</v>
      </c>
      <c r="K89" s="15">
        <v>1.2</v>
      </c>
      <c r="L89" s="15">
        <v>3.1</v>
      </c>
      <c r="M89" s="15">
        <v>4.7</v>
      </c>
      <c r="N89" s="16">
        <v>1.6</v>
      </c>
      <c r="O89" s="44"/>
    </row>
    <row r="90" spans="1:16" ht="15" customHeight="1" x14ac:dyDescent="0.25">
      <c r="A90" s="107">
        <v>79</v>
      </c>
      <c r="B90" s="108"/>
      <c r="C90" s="13" t="s">
        <v>295</v>
      </c>
      <c r="D90" s="15">
        <v>25</v>
      </c>
      <c r="E90" s="14">
        <v>5528</v>
      </c>
      <c r="F90" s="14">
        <v>1674</v>
      </c>
      <c r="G90" s="15">
        <v>8.9</v>
      </c>
      <c r="H90" s="15">
        <v>28</v>
      </c>
      <c r="I90" s="15">
        <v>3</v>
      </c>
      <c r="J90" s="15">
        <v>-13</v>
      </c>
      <c r="K90" s="15">
        <v>31.7</v>
      </c>
      <c r="L90" s="15">
        <v>3.9</v>
      </c>
      <c r="M90" s="15" t="s">
        <v>46</v>
      </c>
      <c r="N90" s="16">
        <v>-14.9</v>
      </c>
      <c r="O90" s="44"/>
    </row>
    <row r="91" spans="1:16" ht="15" customHeight="1" x14ac:dyDescent="0.25">
      <c r="A91" s="107">
        <v>80</v>
      </c>
      <c r="B91" s="108"/>
      <c r="C91" s="13" t="s">
        <v>296</v>
      </c>
      <c r="D91" s="15">
        <v>6</v>
      </c>
      <c r="E91" s="15">
        <v>150</v>
      </c>
      <c r="F91" s="15">
        <v>0</v>
      </c>
      <c r="G91" s="15">
        <v>1.8</v>
      </c>
      <c r="H91" s="15">
        <v>151</v>
      </c>
      <c r="I91" s="15">
        <v>2.4</v>
      </c>
      <c r="J91" s="15">
        <v>2.2000000000000002</v>
      </c>
      <c r="K91" s="15">
        <v>0.5</v>
      </c>
      <c r="L91" s="15">
        <v>2.1</v>
      </c>
      <c r="M91" s="15">
        <v>17.899999999999999</v>
      </c>
      <c r="N91" s="16" t="s">
        <v>46</v>
      </c>
      <c r="O91" s="44"/>
    </row>
    <row r="92" spans="1:16" ht="15" customHeight="1" x14ac:dyDescent="0.25">
      <c r="A92" s="107">
        <v>81</v>
      </c>
      <c r="B92" s="108"/>
      <c r="C92" s="13" t="s">
        <v>297</v>
      </c>
      <c r="D92" s="15">
        <v>0</v>
      </c>
      <c r="E92" s="15">
        <v>0</v>
      </c>
      <c r="F92" s="15">
        <v>0</v>
      </c>
      <c r="G92" s="15">
        <v>1.1000000000000001</v>
      </c>
      <c r="H92" s="15">
        <v>53</v>
      </c>
      <c r="I92" s="15">
        <v>0</v>
      </c>
      <c r="J92" s="15">
        <v>0.1</v>
      </c>
      <c r="K92" s="15">
        <v>70.099999999999994</v>
      </c>
      <c r="L92" s="15">
        <v>290.89999999999998</v>
      </c>
      <c r="M92" s="15">
        <v>20.7</v>
      </c>
      <c r="N92" s="16" t="s">
        <v>298</v>
      </c>
      <c r="O92" s="44"/>
    </row>
    <row r="93" spans="1:16" ht="15" customHeight="1" thickBot="1" x14ac:dyDescent="0.3">
      <c r="A93" s="109">
        <v>82</v>
      </c>
      <c r="B93" s="110"/>
      <c r="C93" s="13" t="s">
        <v>299</v>
      </c>
      <c r="D93" s="15" t="s">
        <v>46</v>
      </c>
      <c r="E93" s="15" t="s">
        <v>46</v>
      </c>
      <c r="F93" s="15" t="s">
        <v>46</v>
      </c>
      <c r="G93" s="15" t="s">
        <v>46</v>
      </c>
      <c r="H93" s="15" t="s">
        <v>46</v>
      </c>
      <c r="I93" s="15" t="s">
        <v>46</v>
      </c>
      <c r="J93" s="15" t="s">
        <v>46</v>
      </c>
      <c r="K93" s="15" t="s">
        <v>46</v>
      </c>
      <c r="L93" s="15" t="s">
        <v>46</v>
      </c>
      <c r="M93" s="15" t="s">
        <v>46</v>
      </c>
      <c r="N93" s="16" t="s">
        <v>46</v>
      </c>
      <c r="O93" s="44"/>
    </row>
    <row r="94" spans="1:16" ht="15" customHeight="1" x14ac:dyDescent="0.25">
      <c r="A94" s="62" t="s">
        <v>301</v>
      </c>
      <c r="B94" s="62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</row>
    <row r="95" spans="1:16" ht="15" customHeight="1" x14ac:dyDescent="0.25">
      <c r="A95" s="69" t="s">
        <v>302</v>
      </c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</row>
    <row r="96" spans="1:16" ht="15" customHeight="1" x14ac:dyDescent="0.25">
      <c r="A96" s="69" t="s">
        <v>303</v>
      </c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</row>
    <row r="97" spans="1:16" ht="15" customHeight="1" x14ac:dyDescent="0.25">
      <c r="A97" s="69" t="s">
        <v>304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</row>
    <row r="98" spans="1:16" ht="15" customHeight="1" x14ac:dyDescent="0.25">
      <c r="A98" s="69" t="s">
        <v>305</v>
      </c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</row>
    <row r="99" spans="1:16" ht="15" customHeight="1" x14ac:dyDescent="0.25">
      <c r="A99" s="69" t="s">
        <v>306</v>
      </c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</row>
    <row r="100" spans="1:16" ht="15" customHeight="1" x14ac:dyDescent="0.25">
      <c r="A100" s="69" t="s">
        <v>307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</row>
    <row r="101" spans="1:16" ht="15" customHeight="1" x14ac:dyDescent="0.25">
      <c r="A101" s="69" t="s">
        <v>308</v>
      </c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</row>
    <row r="102" spans="1:16" ht="15" customHeight="1" x14ac:dyDescent="0.25">
      <c r="A102" s="69" t="s">
        <v>309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</row>
    <row r="103" spans="1:16" x14ac:dyDescent="0.25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</row>
  </sheetData>
  <mergeCells count="103">
    <mergeCell ref="A101:P101"/>
    <mergeCell ref="A102:P102"/>
    <mergeCell ref="A103:P103"/>
    <mergeCell ref="A94:P94"/>
    <mergeCell ref="A95:P95"/>
    <mergeCell ref="A96:P96"/>
    <mergeCell ref="A97:P97"/>
    <mergeCell ref="A98:P98"/>
    <mergeCell ref="A99:P99"/>
    <mergeCell ref="A1:O1"/>
    <mergeCell ref="C2:L2"/>
    <mergeCell ref="M2:N2"/>
    <mergeCell ref="E3:G5"/>
    <mergeCell ref="H3:J5"/>
    <mergeCell ref="K3:L3"/>
    <mergeCell ref="K4:L4"/>
    <mergeCell ref="K5:L5"/>
    <mergeCell ref="A100:P100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27:B27"/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76:B76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92:B92"/>
    <mergeCell ref="A93:B93"/>
    <mergeCell ref="A11:B11"/>
    <mergeCell ref="A3:B9"/>
    <mergeCell ref="A10:B10"/>
    <mergeCell ref="A87:B87"/>
    <mergeCell ref="A88:B88"/>
    <mergeCell ref="A89:B89"/>
    <mergeCell ref="A90:B90"/>
    <mergeCell ref="A91:B91"/>
    <mergeCell ref="A82:B82"/>
    <mergeCell ref="A83:B83"/>
    <mergeCell ref="A84:B84"/>
    <mergeCell ref="A85:B85"/>
    <mergeCell ref="A86:B86"/>
    <mergeCell ref="A77:B77"/>
    <mergeCell ref="A78:B78"/>
    <mergeCell ref="A79:B79"/>
    <mergeCell ref="A80:B80"/>
    <mergeCell ref="A81:B81"/>
    <mergeCell ref="A72:B72"/>
    <mergeCell ref="A73:B73"/>
    <mergeCell ref="A74:B74"/>
    <mergeCell ref="A75:B75"/>
  </mergeCells>
  <pageMargins left="0.7" right="0.7" top="0.78740157499999996" bottom="0.78740157499999996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9</vt:i4>
      </vt:variant>
    </vt:vector>
  </HeadingPairs>
  <TitlesOfParts>
    <vt:vector size="18" baseType="lpstr">
      <vt:lpstr>100</vt:lpstr>
      <vt:lpstr>110</vt:lpstr>
      <vt:lpstr>120</vt:lpstr>
      <vt:lpstr>130</vt:lpstr>
      <vt:lpstr>140</vt:lpstr>
      <vt:lpstr>141</vt:lpstr>
      <vt:lpstr>150 (1)</vt:lpstr>
      <vt:lpstr>150 (2)</vt:lpstr>
      <vt:lpstr>160</vt:lpstr>
      <vt:lpstr>'100'!its_details_value_node.html?nsc_true_listId_www_s201_b9233_tsId_BBK01.ED0439</vt:lpstr>
      <vt:lpstr>'110'!its_details_value_node.html?nsc_true_listId_www_s201_b9233_tsId_BBK01.ED0439</vt:lpstr>
      <vt:lpstr>'120'!its_details_value_node.html?nsc_true_listId_www_s201_b9233_tsId_BBK01.ED0439</vt:lpstr>
      <vt:lpstr>'130'!its_details_value_node.html?nsc_true_listId_www_s201_b9233_tsId_BBK01.ED0439</vt:lpstr>
      <vt:lpstr>'140'!its_details_value_node.html?nsc_true_listId_www_s201_b9233_tsId_BBK01.ED0439</vt:lpstr>
      <vt:lpstr>'141'!its_details_value_node.html?nsc_true_listId_www_s201_b9233_tsId_BBK01.ED0439</vt:lpstr>
      <vt:lpstr>'150 (1)'!its_details_value_node.html?nsc_true_listId_www_s201_b9233_tsId_BBK01.ED0439</vt:lpstr>
      <vt:lpstr>'150 (2)'!its_details_value_node.html?nsc_true_listId_www_s201_b9233_tsId_BBK01.ED0439</vt:lpstr>
      <vt:lpstr>'160'!its_details_value_node.html?nsc_true_listId_www_s201_b9233_tsId_BBK01.ED0439</vt:lpstr>
    </vt:vector>
  </TitlesOfParts>
  <Company>BaFin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ArenzIg</dc:creator>
  <cp:lastModifiedBy>Krings, Thomas</cp:lastModifiedBy>
  <dcterms:created xsi:type="dcterms:W3CDTF">2015-05-27T07:49:48Z</dcterms:created>
  <dcterms:modified xsi:type="dcterms:W3CDTF">2023-12-13T09:27:48Z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{9D002333-F184-47CC-A614-9FBFC9E2D452}</vt:lpwstr>
  </property>
</Properties>
</file>